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155" windowHeight="7245" activeTab="2"/>
  </bookViews>
  <sheets>
    <sheet name="Cost" sheetId="1" r:id="rId1"/>
    <sheet name="ChemCAD Reference" sheetId="5" r:id="rId2"/>
    <sheet name="NPV" sheetId="11" r:id="rId3"/>
    <sheet name="Tower 1 Opt" sheetId="15" r:id="rId4"/>
    <sheet name="LCO T Opt" sheetId="17" r:id="rId5"/>
    <sheet name="Gas T Opt" sheetId="18" r:id="rId6"/>
    <sheet name="LPGDG T Opt" sheetId="19" r:id="rId7"/>
    <sheet name="Component" sheetId="16" r:id="rId8"/>
    <sheet name="Pricing" sheetId="20" r:id="rId9"/>
    <sheet name="Stream Table" sheetId="12" r:id="rId10"/>
    <sheet name="Equipment" sheetId="13" r:id="rId11"/>
    <sheet name="Utilities" sheetId="14" r:id="rId12"/>
  </sheets>
  <calcPr calcId="145621"/>
</workbook>
</file>

<file path=xl/calcChain.xml><?xml version="1.0" encoding="utf-8"?>
<calcChain xmlns="http://schemas.openxmlformats.org/spreadsheetml/2006/main">
  <c r="L47" i="11" l="1"/>
  <c r="J47" i="11"/>
  <c r="H47" i="11"/>
  <c r="C91" i="11"/>
  <c r="D91" i="11"/>
  <c r="E91" i="11"/>
  <c r="B91" i="11"/>
  <c r="B19" i="5"/>
  <c r="F6" i="1"/>
  <c r="E47" i="11" l="1"/>
  <c r="E49" i="11" s="1"/>
  <c r="E51" i="11" s="1"/>
  <c r="N73" i="15" l="1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54" i="15"/>
  <c r="N55" i="15"/>
  <c r="N56" i="15"/>
  <c r="N57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Y5" i="11"/>
  <c r="Z5" i="11" s="1"/>
  <c r="AB5" i="11" s="1"/>
  <c r="U5" i="11"/>
  <c r="V5" i="11" s="1"/>
  <c r="X5" i="11" s="1"/>
  <c r="N105" i="1"/>
  <c r="O105" i="1" s="1"/>
  <c r="N104" i="1"/>
  <c r="H108" i="1" s="1"/>
  <c r="I108" i="1" s="1"/>
  <c r="K101" i="1"/>
  <c r="J101" i="1"/>
  <c r="I100" i="1"/>
  <c r="H100" i="1"/>
  <c r="F101" i="1"/>
  <c r="G101" i="1" s="1"/>
  <c r="T101" i="1" s="1"/>
  <c r="U101" i="1" s="1"/>
  <c r="V101" i="1" s="1"/>
  <c r="AJ101" i="1" s="1"/>
  <c r="F100" i="1"/>
  <c r="G100" i="1" s="1"/>
  <c r="H97" i="1"/>
  <c r="F97" i="1"/>
  <c r="G97" i="1" s="1"/>
  <c r="G94" i="1"/>
  <c r="F94" i="1"/>
  <c r="K97" i="1" s="1"/>
  <c r="L97" i="1" s="1"/>
  <c r="T97" i="1" s="1"/>
  <c r="U97" i="1" s="1"/>
  <c r="V97" i="1" s="1"/>
  <c r="AI108" i="1"/>
  <c r="J108" i="1"/>
  <c r="F108" i="1"/>
  <c r="AI105" i="1"/>
  <c r="M105" i="1"/>
  <c r="F105" i="1"/>
  <c r="AI104" i="1"/>
  <c r="F104" i="1"/>
  <c r="M104" i="1" s="1"/>
  <c r="AI100" i="1"/>
  <c r="AI94" i="1"/>
  <c r="L19" i="16"/>
  <c r="G34" i="16" s="1"/>
  <c r="J19" i="16"/>
  <c r="J20" i="16"/>
  <c r="H19" i="16"/>
  <c r="H20" i="16"/>
  <c r="H21" i="16"/>
  <c r="F19" i="16"/>
  <c r="F20" i="16"/>
  <c r="F21" i="16"/>
  <c r="F22" i="16"/>
  <c r="F23" i="16"/>
  <c r="F24" i="16"/>
  <c r="F25" i="16"/>
  <c r="F26" i="16"/>
  <c r="F27" i="16"/>
  <c r="F28" i="16"/>
  <c r="D19" i="16"/>
  <c r="D20" i="16"/>
  <c r="D21" i="16"/>
  <c r="D22" i="16"/>
  <c r="D23" i="16"/>
  <c r="L18" i="16"/>
  <c r="H34" i="16" s="1"/>
  <c r="J18" i="16"/>
  <c r="H18" i="16"/>
  <c r="F18" i="16"/>
  <c r="D18" i="16"/>
  <c r="B19" i="16"/>
  <c r="B20" i="16"/>
  <c r="B21" i="16"/>
  <c r="B22" i="16"/>
  <c r="B23" i="16"/>
  <c r="B18" i="16"/>
  <c r="F14" i="16"/>
  <c r="D34" i="16" s="1"/>
  <c r="H14" i="16"/>
  <c r="E34" i="16" s="1"/>
  <c r="J14" i="16"/>
  <c r="F34" i="16" s="1"/>
  <c r="L14" i="16"/>
  <c r="D14" i="16"/>
  <c r="C34" i="16" s="1"/>
  <c r="B14" i="16"/>
  <c r="B34" i="16" s="1"/>
  <c r="K108" i="1" l="1"/>
  <c r="L108" i="1" s="1"/>
  <c r="T108" i="1" s="1"/>
  <c r="U108" i="1" s="1"/>
  <c r="V108" i="1" s="1"/>
  <c r="AJ108" i="1" s="1"/>
  <c r="L100" i="1"/>
  <c r="N100" i="1" s="1"/>
  <c r="T100" i="1" s="1"/>
  <c r="U100" i="1" s="1"/>
  <c r="V100" i="1" s="1"/>
  <c r="AJ100" i="1" s="1"/>
  <c r="O104" i="1"/>
  <c r="Q104" i="1" s="1"/>
  <c r="AC5" i="11"/>
  <c r="Q105" i="1"/>
  <c r="I97" i="1"/>
  <c r="J97" i="1" s="1"/>
  <c r="J29" i="16"/>
  <c r="L29" i="16"/>
  <c r="H29" i="16"/>
  <c r="F29" i="16"/>
  <c r="D29" i="16"/>
  <c r="B29" i="16"/>
  <c r="G22" i="11"/>
  <c r="G23" i="11" l="1"/>
  <c r="R104" i="1"/>
  <c r="T104" i="1" s="1"/>
  <c r="U104" i="1" s="1"/>
  <c r="V104" i="1" s="1"/>
  <c r="AJ104" i="1" s="1"/>
  <c r="S104" i="1"/>
  <c r="H94" i="1"/>
  <c r="I94" i="1" s="1"/>
  <c r="J94" i="1" s="1"/>
  <c r="T94" i="1" s="1"/>
  <c r="U94" i="1" s="1"/>
  <c r="V94" i="1" s="1"/>
  <c r="AJ94" i="1" s="1"/>
  <c r="Z97" i="1"/>
  <c r="AC97" i="1" s="1"/>
  <c r="AJ97" i="1" s="1"/>
  <c r="S105" i="1"/>
  <c r="R105" i="1"/>
  <c r="T105" i="1" s="1"/>
  <c r="U105" i="1" s="1"/>
  <c r="V105" i="1" s="1"/>
  <c r="AJ105" i="1" s="1"/>
  <c r="AK105" i="1" l="1"/>
  <c r="H17" i="5"/>
  <c r="F60" i="1" s="1"/>
  <c r="M2" i="11" l="1"/>
  <c r="N2" i="11" s="1"/>
  <c r="O12" i="11" s="1"/>
  <c r="F15" i="11" s="1"/>
  <c r="D7" i="13"/>
  <c r="D4" i="13"/>
  <c r="D2" i="13"/>
  <c r="C21" i="11"/>
  <c r="D21" i="11" s="1"/>
  <c r="C22" i="11"/>
  <c r="D22" i="11" l="1"/>
  <c r="P26" i="11"/>
  <c r="O26" i="11"/>
  <c r="N26" i="11"/>
  <c r="M26" i="11"/>
  <c r="P25" i="11"/>
  <c r="O25" i="11"/>
  <c r="N25" i="11"/>
  <c r="M25" i="11"/>
  <c r="P24" i="11"/>
  <c r="O24" i="11"/>
  <c r="N24" i="11"/>
  <c r="M24" i="11"/>
  <c r="P23" i="11"/>
  <c r="O23" i="11"/>
  <c r="N23" i="11"/>
  <c r="M23" i="11"/>
  <c r="P22" i="11"/>
  <c r="O22" i="11"/>
  <c r="N22" i="11"/>
  <c r="M22" i="11"/>
  <c r="P21" i="11"/>
  <c r="O21" i="11"/>
  <c r="N21" i="11"/>
  <c r="M21" i="11"/>
  <c r="H47" i="1" l="1"/>
  <c r="J29" i="1" l="1"/>
  <c r="I28" i="1"/>
  <c r="H28" i="1"/>
  <c r="I9" i="1"/>
  <c r="H9" i="1" s="1"/>
  <c r="B31" i="11"/>
  <c r="H63" i="1" l="1"/>
  <c r="L63" i="1"/>
  <c r="G63" i="1"/>
  <c r="AI63" i="1"/>
  <c r="K63" i="1" l="1"/>
  <c r="M63" i="1" s="1"/>
  <c r="L66" i="1"/>
  <c r="F75" i="1" s="1"/>
  <c r="G75" i="1" s="1"/>
  <c r="T75" i="1" s="1"/>
  <c r="U75" i="1" s="1"/>
  <c r="V75" i="1" s="1"/>
  <c r="AJ75" i="1" s="1"/>
  <c r="H66" i="1"/>
  <c r="G66" i="1"/>
  <c r="H69" i="1"/>
  <c r="L69" i="1"/>
  <c r="F72" i="1" s="1"/>
  <c r="G72" i="1" s="1"/>
  <c r="T72" i="1" s="1"/>
  <c r="G69" i="1"/>
  <c r="K69" i="1" l="1"/>
  <c r="M69" i="1" s="1"/>
  <c r="O63" i="1"/>
  <c r="T63" i="1" s="1"/>
  <c r="U63" i="1" s="1"/>
  <c r="V63" i="1" s="1"/>
  <c r="AJ63" i="1" s="1"/>
  <c r="K66" i="1"/>
  <c r="M66" i="1" s="1"/>
  <c r="O66" i="1" s="1"/>
  <c r="T66" i="1" s="1"/>
  <c r="AI69" i="1"/>
  <c r="O69" i="1" l="1"/>
  <c r="T69" i="1" s="1"/>
  <c r="U69" i="1" s="1"/>
  <c r="V69" i="1" s="1"/>
  <c r="AJ69" i="1" s="1"/>
  <c r="E86" i="1"/>
  <c r="E84" i="1" s="1"/>
  <c r="B86" i="1"/>
  <c r="B87" i="1"/>
  <c r="B89" i="1"/>
  <c r="B83" i="1" l="1"/>
  <c r="J17" i="1"/>
  <c r="J36" i="1"/>
  <c r="H83" i="1" l="1"/>
  <c r="B84" i="1"/>
  <c r="E24" i="5"/>
  <c r="C23" i="11" s="1"/>
  <c r="D23" i="11" s="1"/>
  <c r="E25" i="5"/>
  <c r="C24" i="11" s="1"/>
  <c r="D24" i="11" s="1"/>
  <c r="E26" i="5"/>
  <c r="C25" i="11" s="1"/>
  <c r="D25" i="11" s="1"/>
  <c r="E27" i="5"/>
  <c r="C26" i="11" s="1"/>
  <c r="D26" i="11" s="1"/>
  <c r="E28" i="5"/>
  <c r="E23" i="5"/>
  <c r="B28" i="11"/>
  <c r="B35" i="11" s="1"/>
  <c r="B33" i="11"/>
  <c r="B32" i="11" l="1"/>
  <c r="B30" i="11"/>
  <c r="B29" i="11"/>
  <c r="F25" i="1"/>
  <c r="B36" i="11" l="1"/>
  <c r="B37" i="11"/>
  <c r="B38" i="11"/>
  <c r="B39" i="11"/>
  <c r="B40" i="11"/>
  <c r="B41" i="11" l="1"/>
  <c r="C41" i="11" s="1"/>
  <c r="C35" i="11"/>
  <c r="K8" i="11" l="1"/>
  <c r="L8" i="11" s="1"/>
  <c r="N8" i="11" s="1"/>
  <c r="AI78" i="1"/>
  <c r="L78" i="1"/>
  <c r="G78" i="1"/>
  <c r="S8" i="11" l="1"/>
  <c r="N78" i="1"/>
  <c r="T78" i="1" s="1"/>
  <c r="U78" i="1" s="1"/>
  <c r="V78" i="1" s="1"/>
  <c r="AJ78" i="1" s="1"/>
  <c r="L28" i="1"/>
  <c r="E8" i="11"/>
  <c r="F8" i="11" l="1"/>
  <c r="H8" i="11" s="1"/>
  <c r="K5" i="11"/>
  <c r="A5" i="11"/>
  <c r="F10" i="1"/>
  <c r="G10" i="1" s="1"/>
  <c r="T10" i="1" s="1"/>
  <c r="U10" i="1" s="1"/>
  <c r="V10" i="1" s="1"/>
  <c r="AJ10" i="1" s="1"/>
  <c r="H44" i="1"/>
  <c r="G41" i="1"/>
  <c r="K44" i="1"/>
  <c r="L44" i="1" s="1"/>
  <c r="T44" i="1" s="1"/>
  <c r="G44" i="1"/>
  <c r="F48" i="1"/>
  <c r="G48" i="1" s="1"/>
  <c r="T48" i="1" s="1"/>
  <c r="F47" i="1"/>
  <c r="G47" i="1" s="1"/>
  <c r="L47" i="1"/>
  <c r="N52" i="1"/>
  <c r="O52" i="1" s="1"/>
  <c r="N51" i="1"/>
  <c r="N33" i="1"/>
  <c r="O33" i="1" s="1"/>
  <c r="N32" i="1"/>
  <c r="H36" i="1" s="1"/>
  <c r="I36" i="1" s="1"/>
  <c r="K29" i="1"/>
  <c r="L29" i="1" s="1"/>
  <c r="F29" i="1"/>
  <c r="G29" i="1" s="1"/>
  <c r="F28" i="1"/>
  <c r="G28" i="1" s="1"/>
  <c r="H25" i="1"/>
  <c r="G25" i="1"/>
  <c r="F55" i="1"/>
  <c r="F52" i="1"/>
  <c r="M52" i="1" s="1"/>
  <c r="J55" i="1"/>
  <c r="F51" i="1"/>
  <c r="M51" i="1" s="1"/>
  <c r="G22" i="1"/>
  <c r="G3" i="1"/>
  <c r="F22" i="1"/>
  <c r="F36" i="1"/>
  <c r="F33" i="1"/>
  <c r="M33" i="1" s="1"/>
  <c r="F32" i="1"/>
  <c r="M32" i="1" s="1"/>
  <c r="N14" i="1"/>
  <c r="O14" i="1" s="1"/>
  <c r="N13" i="1"/>
  <c r="H17" i="1" s="1"/>
  <c r="L9" i="1"/>
  <c r="F13" i="1"/>
  <c r="F14" i="1"/>
  <c r="U72" i="1"/>
  <c r="V72" i="1" s="1"/>
  <c r="AJ72" i="1" s="1"/>
  <c r="G6" i="1"/>
  <c r="B5" i="11" l="1"/>
  <c r="D5" i="11" s="1"/>
  <c r="K36" i="1"/>
  <c r="L36" i="1" s="1"/>
  <c r="T36" i="1" s="1"/>
  <c r="H55" i="1"/>
  <c r="I55" i="1" s="1"/>
  <c r="K55" i="1" s="1"/>
  <c r="L55" i="1" s="1"/>
  <c r="L5" i="11"/>
  <c r="N5" i="11" s="1"/>
  <c r="N29" i="1"/>
  <c r="T29" i="1" s="1"/>
  <c r="I25" i="1"/>
  <c r="J25" i="1" s="1"/>
  <c r="H22" i="1" s="1"/>
  <c r="I22" i="1" s="1"/>
  <c r="J22" i="1" s="1"/>
  <c r="T22" i="1" s="1"/>
  <c r="K25" i="1"/>
  <c r="O51" i="1"/>
  <c r="Q51" i="1" s="1"/>
  <c r="S51" i="1" s="1"/>
  <c r="N47" i="1"/>
  <c r="T47" i="1" s="1"/>
  <c r="N28" i="1"/>
  <c r="T28" i="1" s="1"/>
  <c r="I44" i="1"/>
  <c r="J44" i="1" s="1"/>
  <c r="H41" i="1" s="1"/>
  <c r="I41" i="1" s="1"/>
  <c r="J41" i="1" s="1"/>
  <c r="T41" i="1" s="1"/>
  <c r="Q33" i="1"/>
  <c r="S33" i="1" s="1"/>
  <c r="O32" i="1"/>
  <c r="Q32" i="1" s="1"/>
  <c r="O13" i="1"/>
  <c r="Q52" i="1"/>
  <c r="U66" i="1"/>
  <c r="V66" i="1" s="1"/>
  <c r="AI66" i="1"/>
  <c r="AI60" i="1"/>
  <c r="AI55" i="1"/>
  <c r="AI52" i="1"/>
  <c r="AI51" i="1"/>
  <c r="AI47" i="1"/>
  <c r="U44" i="1"/>
  <c r="V44" i="1" s="1"/>
  <c r="AI41" i="1"/>
  <c r="S5" i="11" l="1"/>
  <c r="I5" i="11"/>
  <c r="AJ66" i="1"/>
  <c r="L25" i="1"/>
  <c r="T25" i="1" s="1"/>
  <c r="Z25" i="1"/>
  <c r="R33" i="1"/>
  <c r="T33" i="1" s="1"/>
  <c r="R51" i="1"/>
  <c r="S32" i="1"/>
  <c r="R32" i="1"/>
  <c r="T32" i="1" s="1"/>
  <c r="S52" i="1"/>
  <c r="R52" i="1"/>
  <c r="U47" i="1"/>
  <c r="V47" i="1" s="1"/>
  <c r="AJ47" i="1" s="1"/>
  <c r="U48" i="1"/>
  <c r="V48" i="1" s="1"/>
  <c r="AJ48" i="1" s="1"/>
  <c r="U41" i="1"/>
  <c r="V41" i="1" s="1"/>
  <c r="AJ41" i="1" s="1"/>
  <c r="T55" i="1"/>
  <c r="U55" i="1" s="1"/>
  <c r="V55" i="1" s="1"/>
  <c r="AJ55" i="1" s="1"/>
  <c r="AN6" i="1" l="1"/>
  <c r="T51" i="1"/>
  <c r="U51" i="1" s="1"/>
  <c r="V51" i="1" s="1"/>
  <c r="AJ51" i="1" s="1"/>
  <c r="T52" i="1"/>
  <c r="U52" i="1" s="1"/>
  <c r="V52" i="1" s="1"/>
  <c r="AJ52" i="1" s="1"/>
  <c r="Z44" i="1"/>
  <c r="AC44" i="1" s="1"/>
  <c r="AJ44" i="1" s="1"/>
  <c r="AK53" i="1" l="1"/>
  <c r="A8" i="11"/>
  <c r="G2" i="11" l="1"/>
  <c r="H2" i="11" s="1"/>
  <c r="K12" i="11" s="1"/>
  <c r="F14" i="11" s="1"/>
  <c r="B8" i="11"/>
  <c r="D8" i="11" s="1"/>
  <c r="AI36" i="1"/>
  <c r="AI33" i="1"/>
  <c r="AI32" i="1"/>
  <c r="AI29" i="1"/>
  <c r="AI28" i="1"/>
  <c r="AI22" i="1"/>
  <c r="F3" i="1"/>
  <c r="H6" i="1"/>
  <c r="I6" i="1" s="1"/>
  <c r="F9" i="1"/>
  <c r="G9" i="1" s="1"/>
  <c r="N9" i="1" s="1"/>
  <c r="I17" i="1"/>
  <c r="AI17" i="1"/>
  <c r="F17" i="1"/>
  <c r="AI14" i="1"/>
  <c r="M14" i="1"/>
  <c r="Q14" i="1" s="1"/>
  <c r="AI13" i="1"/>
  <c r="AI9" i="1"/>
  <c r="AI3" i="1"/>
  <c r="C60" i="11" l="1"/>
  <c r="S14" i="1"/>
  <c r="R14" i="1"/>
  <c r="T14" i="1" s="1"/>
  <c r="M13" i="1"/>
  <c r="Q13" i="1" s="1"/>
  <c r="T9" i="1"/>
  <c r="U9" i="1" s="1"/>
  <c r="V9" i="1" s="1"/>
  <c r="AJ9" i="1" s="1"/>
  <c r="K6" i="1"/>
  <c r="L6" i="1" s="1"/>
  <c r="T6" i="1" s="1"/>
  <c r="K17" i="1"/>
  <c r="L17" i="1" s="1"/>
  <c r="T17" i="1" s="1"/>
  <c r="U17" i="1" s="1"/>
  <c r="V17" i="1" s="1"/>
  <c r="AJ17" i="1" s="1"/>
  <c r="U25" i="1"/>
  <c r="V25" i="1" s="1"/>
  <c r="AC25" i="1" s="1"/>
  <c r="U28" i="1"/>
  <c r="V28" i="1" s="1"/>
  <c r="AJ28" i="1" s="1"/>
  <c r="U29" i="1"/>
  <c r="V29" i="1" s="1"/>
  <c r="AJ29" i="1" s="1"/>
  <c r="J6" i="1"/>
  <c r="Z6" i="1" s="1"/>
  <c r="U33" i="1"/>
  <c r="V33" i="1" s="1"/>
  <c r="AJ33" i="1" s="1"/>
  <c r="I8" i="11"/>
  <c r="AN5" i="1" l="1"/>
  <c r="AN4" i="1"/>
  <c r="S13" i="1"/>
  <c r="R13" i="1"/>
  <c r="T13" i="1" s="1"/>
  <c r="U13" i="1" s="1"/>
  <c r="V13" i="1" s="1"/>
  <c r="AJ13" i="1" s="1"/>
  <c r="U36" i="1"/>
  <c r="V36" i="1" s="1"/>
  <c r="AJ36" i="1" s="1"/>
  <c r="AJ25" i="1"/>
  <c r="U6" i="1"/>
  <c r="V6" i="1" s="1"/>
  <c r="AC6" i="1" s="1"/>
  <c r="U14" i="1"/>
  <c r="V14" i="1" s="1"/>
  <c r="AJ14" i="1" s="1"/>
  <c r="H3" i="1"/>
  <c r="I3" i="1" s="1"/>
  <c r="U32" i="1"/>
  <c r="V32" i="1" s="1"/>
  <c r="AJ32" i="1" s="1"/>
  <c r="U22" i="1" l="1"/>
  <c r="V22" i="1" s="1"/>
  <c r="AJ22" i="1" s="1"/>
  <c r="J3" i="1"/>
  <c r="T3" i="1" s="1"/>
  <c r="U3" i="1" s="1"/>
  <c r="V3" i="1" s="1"/>
  <c r="AJ3" i="1" s="1"/>
  <c r="AJ6" i="1"/>
  <c r="D2" i="11" l="1"/>
  <c r="E2" i="11" s="1"/>
  <c r="C12" i="11" s="1"/>
  <c r="AK35" i="1"/>
  <c r="AK17" i="1"/>
  <c r="A2" i="11"/>
  <c r="C59" i="11" l="1"/>
  <c r="F13" i="11"/>
  <c r="B2" i="11"/>
  <c r="A12" i="11" s="1"/>
  <c r="F12" i="11" l="1"/>
  <c r="C58" i="11"/>
  <c r="T60" i="1"/>
  <c r="U60" i="1" s="1"/>
  <c r="V60" i="1" s="1"/>
  <c r="AJ60" i="1" s="1"/>
  <c r="AK76" i="1" l="1"/>
  <c r="J2" i="11" s="1"/>
  <c r="K2" i="11" s="1"/>
  <c r="M12" i="11" s="1"/>
  <c r="A15" i="11" l="1"/>
  <c r="F16" i="11"/>
  <c r="A43" i="11" l="1"/>
  <c r="C62" i="11" s="1"/>
</calcChain>
</file>

<file path=xl/sharedStrings.xml><?xml version="1.0" encoding="utf-8"?>
<sst xmlns="http://schemas.openxmlformats.org/spreadsheetml/2006/main" count="1590" uniqueCount="479">
  <si>
    <t>Tower</t>
  </si>
  <si>
    <t>k1</t>
  </si>
  <si>
    <t>Trays</t>
  </si>
  <si>
    <t>k2</t>
  </si>
  <si>
    <t>k3</t>
  </si>
  <si>
    <t>Capacity</t>
  </si>
  <si>
    <t>log(Cp0)</t>
  </si>
  <si>
    <t>Cp0</t>
  </si>
  <si>
    <t>Corrosion</t>
  </si>
  <si>
    <t>Fm</t>
  </si>
  <si>
    <t>Material of Construction</t>
  </si>
  <si>
    <t>Pressure</t>
  </si>
  <si>
    <t>C1</t>
  </si>
  <si>
    <t>C2</t>
  </si>
  <si>
    <t>C3</t>
  </si>
  <si>
    <t>log(Fp)</t>
  </si>
  <si>
    <t>Fp</t>
  </si>
  <si>
    <t>B1</t>
  </si>
  <si>
    <t>B2</t>
  </si>
  <si>
    <t>Fq</t>
  </si>
  <si>
    <t>N</t>
  </si>
  <si>
    <t>Fbm</t>
  </si>
  <si>
    <t>Cbm</t>
  </si>
  <si>
    <t>Area m^2</t>
  </si>
  <si>
    <t>Volume m^3</t>
  </si>
  <si>
    <t>Tray</t>
  </si>
  <si>
    <t>Heat Exchangers</t>
  </si>
  <si>
    <t>viscocity cp</t>
  </si>
  <si>
    <t>Tray efficiency</t>
  </si>
  <si>
    <t>Tray theoretical</t>
  </si>
  <si>
    <t>Actual Trays #</t>
  </si>
  <si>
    <t>Pumps</t>
  </si>
  <si>
    <t>Cond Surge Tank</t>
  </si>
  <si>
    <t>Amt full</t>
  </si>
  <si>
    <t>Hold time s</t>
  </si>
  <si>
    <t>shaft power hp</t>
  </si>
  <si>
    <t>density ft^3/lbm</t>
  </si>
  <si>
    <t>volume ft^3</t>
  </si>
  <si>
    <t>volume m^3</t>
  </si>
  <si>
    <t>Distillate Surge Tank</t>
  </si>
  <si>
    <t>Pump Distillate</t>
  </si>
  <si>
    <t>Pump Bottoms</t>
  </si>
  <si>
    <t>Condenser</t>
  </si>
  <si>
    <t>Reboiler</t>
  </si>
  <si>
    <t>Distillation Tower</t>
  </si>
  <si>
    <t>Type</t>
  </si>
  <si>
    <t>FCI</t>
  </si>
  <si>
    <t>duty cond GJ/hr</t>
  </si>
  <si>
    <t>Price GJ/$</t>
  </si>
  <si>
    <t>UC of cond</t>
  </si>
  <si>
    <t>duty reboil GJ/hr</t>
  </si>
  <si>
    <t>UC of reboil</t>
  </si>
  <si>
    <t>CUT</t>
  </si>
  <si>
    <t>CTM Sum</t>
  </si>
  <si>
    <t>flow rate lbm/hr</t>
  </si>
  <si>
    <t>flow rate lbm/s</t>
  </si>
  <si>
    <t>Floating Head</t>
  </si>
  <si>
    <t>Sieve</t>
  </si>
  <si>
    <t>Centrifugal</t>
  </si>
  <si>
    <t>efficiency</t>
  </si>
  <si>
    <t>Delta Z ft</t>
  </si>
  <si>
    <t>g ft^2/s</t>
  </si>
  <si>
    <t>gc lbm*ft/(lbf*s^2)</t>
  </si>
  <si>
    <t>shaft power kW</t>
  </si>
  <si>
    <t>Wp lbf*ft/lbm</t>
  </si>
  <si>
    <t>shaft power ft*lbf/s</t>
  </si>
  <si>
    <t>Delta P lbf/ft^2</t>
  </si>
  <si>
    <t>density kg/m^3</t>
  </si>
  <si>
    <t>density lbm/ft^3</t>
  </si>
  <si>
    <t>CS</t>
  </si>
  <si>
    <t>No</t>
  </si>
  <si>
    <t>Feed Tray</t>
  </si>
  <si>
    <t>Theoretical Trays</t>
  </si>
  <si>
    <t>hfs</t>
  </si>
  <si>
    <t>Total NPV</t>
  </si>
  <si>
    <t>Heat Exchanger</t>
  </si>
  <si>
    <t>Fired Heater</t>
  </si>
  <si>
    <t>Seperator</t>
  </si>
  <si>
    <t>duty MJ/hr</t>
  </si>
  <si>
    <t>Process Vessel</t>
  </si>
  <si>
    <t>Diameter m</t>
  </si>
  <si>
    <t>Horizontal PV</t>
  </si>
  <si>
    <t>Reactor Volume</t>
  </si>
  <si>
    <t>Furnance Duty</t>
  </si>
  <si>
    <t>Column Diameter m</t>
  </si>
  <si>
    <t>Tray Spacing m</t>
  </si>
  <si>
    <t>Cond Duty MJ/hr</t>
  </si>
  <si>
    <t>Reboil Duty MJ/hr</t>
  </si>
  <si>
    <t>Cond Thin C</t>
  </si>
  <si>
    <t>Cond Thout C</t>
  </si>
  <si>
    <t>Reboil Tcin C</t>
  </si>
  <si>
    <t>Reboil Tcout C</t>
  </si>
  <si>
    <t>Feed Viscocity cp</t>
  </si>
  <si>
    <t>Distillate Flow kg/h</t>
  </si>
  <si>
    <t>Bottoms Flow kg/h</t>
  </si>
  <si>
    <t>Height m</t>
  </si>
  <si>
    <t>Thin C</t>
  </si>
  <si>
    <t>Thout C</t>
  </si>
  <si>
    <t>Tcin C</t>
  </si>
  <si>
    <t>Tcout C</t>
  </si>
  <si>
    <t>DTlm C</t>
  </si>
  <si>
    <t>U W/m^2*C</t>
  </si>
  <si>
    <t>duty W</t>
  </si>
  <si>
    <t>duty W / kW</t>
  </si>
  <si>
    <t>duty cond MJ/hr</t>
  </si>
  <si>
    <t>duty reboil MJ/hr</t>
  </si>
  <si>
    <t xml:space="preserve">Gasoline $/gal </t>
  </si>
  <si>
    <t>LCO $/gal</t>
  </si>
  <si>
    <t>LPG $/gal</t>
  </si>
  <si>
    <t>HCO $/gal</t>
  </si>
  <si>
    <t>density</t>
  </si>
  <si>
    <t>Gas</t>
  </si>
  <si>
    <t>LCO $/year</t>
  </si>
  <si>
    <t>HCO $/year</t>
  </si>
  <si>
    <t>Feed Cost</t>
  </si>
  <si>
    <t>HCO</t>
  </si>
  <si>
    <t>LCO</t>
  </si>
  <si>
    <t>Feed</t>
  </si>
  <si>
    <t>DryGas $/thou foot</t>
  </si>
  <si>
    <t>Product Cost</t>
  </si>
  <si>
    <t>$/gal</t>
  </si>
  <si>
    <t>$/lb</t>
  </si>
  <si>
    <t>Cyclone Scrubber</t>
  </si>
  <si>
    <t>Volume Flowrate m^3/s</t>
  </si>
  <si>
    <t>Res Time</t>
  </si>
  <si>
    <t>DG</t>
  </si>
  <si>
    <t>LPG</t>
  </si>
  <si>
    <t>DG $/year</t>
  </si>
  <si>
    <t>LPG $/year</t>
  </si>
  <si>
    <t>GLN $/year</t>
  </si>
  <si>
    <t>DG lb/h</t>
  </si>
  <si>
    <t>LPG lb/h</t>
  </si>
  <si>
    <t>LCO lb/h</t>
  </si>
  <si>
    <t>GLN lb/h</t>
  </si>
  <si>
    <t>HCO lb/h</t>
  </si>
  <si>
    <t>Feed lb/h</t>
  </si>
  <si>
    <t>density at 30 C</t>
  </si>
  <si>
    <t>density lb/ft^3</t>
  </si>
  <si>
    <t>density lb/gal</t>
  </si>
  <si>
    <t>mass flow rate lb/h</t>
  </si>
  <si>
    <t>Feed $/gal</t>
  </si>
  <si>
    <t>Residence Time</t>
  </si>
  <si>
    <t>Flow Rate</t>
  </si>
  <si>
    <t>Reactor Vol</t>
  </si>
  <si>
    <t>seconds</t>
  </si>
  <si>
    <t>m^3</t>
  </si>
  <si>
    <t>Heavy Cycle Oil</t>
  </si>
  <si>
    <t>Light Cycle Oil</t>
  </si>
  <si>
    <t>Gasoline</t>
  </si>
  <si>
    <t>Light Petroleum Gas</t>
  </si>
  <si>
    <t>Dry Gas</t>
  </si>
  <si>
    <t># of Components</t>
  </si>
  <si>
    <t>Lump Equivalent</t>
  </si>
  <si>
    <t>m/s</t>
  </si>
  <si>
    <t>Pressure Drop</t>
  </si>
  <si>
    <t>Pa * s</t>
  </si>
  <si>
    <t>m</t>
  </si>
  <si>
    <t>Pa</t>
  </si>
  <si>
    <t>kg/m^3</t>
  </si>
  <si>
    <t>Height of Regenerator</t>
  </si>
  <si>
    <t>Superficial Velocity</t>
  </si>
  <si>
    <t>Particle Diameter</t>
  </si>
  <si>
    <t>Void Fraction</t>
  </si>
  <si>
    <t>Fluid Viscosity</t>
  </si>
  <si>
    <t>Fluid Density</t>
  </si>
  <si>
    <t>lb/s*ft^2</t>
  </si>
  <si>
    <t>ft</t>
  </si>
  <si>
    <t>Flux</t>
  </si>
  <si>
    <t>Mass Flow Rate</t>
  </si>
  <si>
    <t>lb/s</t>
  </si>
  <si>
    <t>Area</t>
  </si>
  <si>
    <t>ft^2</t>
  </si>
  <si>
    <t>m^2</t>
  </si>
  <si>
    <t>Volume</t>
  </si>
  <si>
    <t>Reactor 2</t>
  </si>
  <si>
    <t>Particle Density kg/m^3</t>
  </si>
  <si>
    <t>Density of Fluid kg/m^3</t>
  </si>
  <si>
    <t>Settling Velocity</t>
  </si>
  <si>
    <t>Particle Diameter m</t>
  </si>
  <si>
    <t>Gravity m/s^2</t>
  </si>
  <si>
    <t>Dynamic Viscosity of Fluid N*s*m^2</t>
  </si>
  <si>
    <t>Volumetric Flowrate</t>
  </si>
  <si>
    <t>Density</t>
  </si>
  <si>
    <t>Viscosity</t>
  </si>
  <si>
    <t>Volumetric Flow Rate</t>
  </si>
  <si>
    <t>Height</t>
  </si>
  <si>
    <t>Cyclone Seperator Reactor</t>
  </si>
  <si>
    <t>Cyclone Seperator Regenerator</t>
  </si>
  <si>
    <t>Reactor Part 1</t>
  </si>
  <si>
    <t>Reactor Part 2</t>
  </si>
  <si>
    <t>Regenator Part 2</t>
  </si>
  <si>
    <t>Regenator Part 1</t>
  </si>
  <si>
    <t>Fluidization Velocity</t>
  </si>
  <si>
    <t>m^3/s</t>
  </si>
  <si>
    <t>Regenerator</t>
  </si>
  <si>
    <t>Feed $/lb</t>
  </si>
  <si>
    <t>Dry Gas $/lb</t>
  </si>
  <si>
    <t>LPG $/lb</t>
  </si>
  <si>
    <t>Gasoline $/lb</t>
  </si>
  <si>
    <t>LCO $/lb</t>
  </si>
  <si>
    <t>HCO $/lb</t>
  </si>
  <si>
    <t>Pricing Sensitivity</t>
  </si>
  <si>
    <t>Stream Table</t>
  </si>
  <si>
    <t>Temperature (C )</t>
  </si>
  <si>
    <t>Pressure (bar)</t>
  </si>
  <si>
    <t>Quality (%)</t>
  </si>
  <si>
    <t>Mass Flow Rate (lb/hr)</t>
  </si>
  <si>
    <t>Component 1</t>
  </si>
  <si>
    <t>Component 2</t>
  </si>
  <si>
    <t>Component 3</t>
  </si>
  <si>
    <t>Component 4</t>
  </si>
  <si>
    <t>Component 5</t>
  </si>
  <si>
    <t>Component 6</t>
  </si>
  <si>
    <t>Component 7</t>
  </si>
  <si>
    <t>Component 8</t>
  </si>
  <si>
    <t>Component 9</t>
  </si>
  <si>
    <t>Component 10</t>
  </si>
  <si>
    <t>Component 11</t>
  </si>
  <si>
    <t>Component 12</t>
  </si>
  <si>
    <t>Ethane 1%</t>
  </si>
  <si>
    <t>Ethene 98%</t>
  </si>
  <si>
    <t>Methane 1%</t>
  </si>
  <si>
    <t>Butane 1%</t>
  </si>
  <si>
    <t>Propane 2%</t>
  </si>
  <si>
    <t>Propene 49%</t>
  </si>
  <si>
    <t>Pentane 15%</t>
  </si>
  <si>
    <t>Butene 18%</t>
  </si>
  <si>
    <t>Pentene 2%</t>
  </si>
  <si>
    <t>Cyclopentane 12%</t>
  </si>
  <si>
    <t>Decane 19%</t>
  </si>
  <si>
    <t>Decene 10%</t>
  </si>
  <si>
    <t>N-butylcyclohexane 22%</t>
  </si>
  <si>
    <t>Octane 10%</t>
  </si>
  <si>
    <t>Octene 9%</t>
  </si>
  <si>
    <t>Heptene 7%</t>
  </si>
  <si>
    <t>Cycloheptene 9%</t>
  </si>
  <si>
    <t>Benzene 1%</t>
  </si>
  <si>
    <t>Pentane 2%</t>
  </si>
  <si>
    <t>Pentene 1%</t>
  </si>
  <si>
    <t>Cyclopentane 9%</t>
  </si>
  <si>
    <t>Propene 1%</t>
  </si>
  <si>
    <t>Octadecane 7%</t>
  </si>
  <si>
    <t>Cetane 6%</t>
  </si>
  <si>
    <t>Pentadecane 9%</t>
  </si>
  <si>
    <t>Pentadecene 11</t>
  </si>
  <si>
    <t>Phenylbenzene 44%</t>
  </si>
  <si>
    <t>Decane 1%</t>
  </si>
  <si>
    <t>N-butylcyclohexane 13%</t>
  </si>
  <si>
    <t>Eicosane 3%</t>
  </si>
  <si>
    <t>Nonacosane 31%</t>
  </si>
  <si>
    <t>Hexacosane 17%</t>
  </si>
  <si>
    <t>Uneicosane 2%</t>
  </si>
  <si>
    <t>Eicosane 6%</t>
  </si>
  <si>
    <t>N-Pentadecylbenzene 43%</t>
  </si>
  <si>
    <t>Octadecane 1%</t>
  </si>
  <si>
    <t>Descritpion</t>
  </si>
  <si>
    <t>Cost Type</t>
  </si>
  <si>
    <t>Cost</t>
  </si>
  <si>
    <t>Name</t>
  </si>
  <si>
    <t>T-101</t>
  </si>
  <si>
    <t>Tray Sieve</t>
  </si>
  <si>
    <t>T-201</t>
  </si>
  <si>
    <t>T-301</t>
  </si>
  <si>
    <t>E-101</t>
  </si>
  <si>
    <t>E-102</t>
  </si>
  <si>
    <t>V-101</t>
  </si>
  <si>
    <t>E-201</t>
  </si>
  <si>
    <t>E-202</t>
  </si>
  <si>
    <t>V-201</t>
  </si>
  <si>
    <t>P-201 P-202</t>
  </si>
  <si>
    <t>P-203 P-204</t>
  </si>
  <si>
    <t>P-101 P-102</t>
  </si>
  <si>
    <t>P-103 P-104</t>
  </si>
  <si>
    <t>E-301</t>
  </si>
  <si>
    <t>E-302</t>
  </si>
  <si>
    <t>P-301 P-302</t>
  </si>
  <si>
    <t>P-303 P-304</t>
  </si>
  <si>
    <t>V-301</t>
  </si>
  <si>
    <t>V-401</t>
  </si>
  <si>
    <t>V-402</t>
  </si>
  <si>
    <t>V-403</t>
  </si>
  <si>
    <t>V-404</t>
  </si>
  <si>
    <t>E-401</t>
  </si>
  <si>
    <t>Regenerator Part 1</t>
  </si>
  <si>
    <t>Regenerator Part 2</t>
  </si>
  <si>
    <t>V-405 V-406 V-407</t>
  </si>
  <si>
    <t>V-408 V-409 V-410</t>
  </si>
  <si>
    <t>Reactor Seperators</t>
  </si>
  <si>
    <t>Regenerator Seperators</t>
  </si>
  <si>
    <t>Duty (MJ/hr)</t>
  </si>
  <si>
    <t>NPV Pre Feed/Prod</t>
  </si>
  <si>
    <t>Reactor Volume Calc</t>
  </si>
  <si>
    <t>Tower 1</t>
  </si>
  <si>
    <t>LCO Tower</t>
  </si>
  <si>
    <t>Gasoline Tower</t>
  </si>
  <si>
    <t>NPV</t>
  </si>
  <si>
    <t>Tower 1 Cost</t>
  </si>
  <si>
    <t>LCO Tower Cost</t>
  </si>
  <si>
    <t>Gas Tower Cost</t>
  </si>
  <si>
    <t>Tower 1 Tray #</t>
  </si>
  <si>
    <t>Tower 1 Feed</t>
  </si>
  <si>
    <t>All Tower Costs</t>
  </si>
  <si>
    <t>Nonacosane</t>
  </si>
  <si>
    <t>Hexacosane</t>
  </si>
  <si>
    <t>Uneicosane</t>
  </si>
  <si>
    <t>Eicosane</t>
  </si>
  <si>
    <t>N-Pentadecyclobenzene</t>
  </si>
  <si>
    <t>N-Pentadecycyclopentane</t>
  </si>
  <si>
    <t>Octadecane</t>
  </si>
  <si>
    <t>N-Dodecylcyc</t>
  </si>
  <si>
    <t>Cetane</t>
  </si>
  <si>
    <t>Pentadecane</t>
  </si>
  <si>
    <t>1-pentadecene</t>
  </si>
  <si>
    <t>Phenylbenzene</t>
  </si>
  <si>
    <t>Decane</t>
  </si>
  <si>
    <t>1-Decene</t>
  </si>
  <si>
    <t>N-Butylcyclohexane</t>
  </si>
  <si>
    <t>Octane</t>
  </si>
  <si>
    <t>1-octene</t>
  </si>
  <si>
    <t>1-Heptene</t>
  </si>
  <si>
    <t>Cycloheptane</t>
  </si>
  <si>
    <t>Benzene</t>
  </si>
  <si>
    <t>Pentane</t>
  </si>
  <si>
    <t>1-Pentene</t>
  </si>
  <si>
    <t>Cyclopentane</t>
  </si>
  <si>
    <t>Butane</t>
  </si>
  <si>
    <t>1-Butene</t>
  </si>
  <si>
    <t>Propane</t>
  </si>
  <si>
    <t>Propene</t>
  </si>
  <si>
    <t>Ethane</t>
  </si>
  <si>
    <t>Ethene</t>
  </si>
  <si>
    <t>Methane</t>
  </si>
  <si>
    <t>Carbon</t>
  </si>
  <si>
    <t>Hydrogen</t>
  </si>
  <si>
    <t>Other</t>
  </si>
  <si>
    <t>Catalyst</t>
  </si>
  <si>
    <t>Main Tower</t>
  </si>
  <si>
    <t>FCC</t>
  </si>
  <si>
    <t>LPG/DG Tower</t>
  </si>
  <si>
    <t>LPG/DG Tower Cost</t>
  </si>
  <si>
    <t>Gas Tower Tray #</t>
  </si>
  <si>
    <t>Gas Tower Feed</t>
  </si>
  <si>
    <t>LCO Tower Tray #</t>
  </si>
  <si>
    <t>LCO Tower Feed</t>
  </si>
  <si>
    <t>LPGDGTower Tray #</t>
  </si>
  <si>
    <t>LPGDG Tower Feed</t>
  </si>
  <si>
    <t>H2</t>
  </si>
  <si>
    <t>Coke</t>
  </si>
  <si>
    <t>Recycle Perecentage 15 m^3</t>
  </si>
  <si>
    <t>Recycle Perecentage 25 m^3</t>
  </si>
  <si>
    <t>Recycle Perecentage 35 m^3</t>
  </si>
  <si>
    <t>Recycle Perecentage 45 m^3</t>
  </si>
  <si>
    <t>Recycle Perecentage 5 m^3</t>
  </si>
  <si>
    <t>Surge Tank</t>
  </si>
  <si>
    <t>Pump Bottom</t>
  </si>
  <si>
    <t>Reactor</t>
  </si>
  <si>
    <t>LPG &amp; DG Tower</t>
  </si>
  <si>
    <t>Main Tower Condenser</t>
  </si>
  <si>
    <t>LCO Tower Condenser</t>
  </si>
  <si>
    <t>Gasoline Tower Condenser</t>
  </si>
  <si>
    <t>Gasoline Tower Reboiler</t>
  </si>
  <si>
    <t>LPG/DG Tower Condesner</t>
  </si>
  <si>
    <t>LPG/DG Tower Reboiler</t>
  </si>
  <si>
    <t>Pre Fractionator Heat Exchanger</t>
  </si>
  <si>
    <t>Dollars Per Gallon</t>
  </si>
  <si>
    <t>Dollars per Pound</t>
  </si>
  <si>
    <t>Dry Gas $/thou foot</t>
  </si>
  <si>
    <t>Recycle Rate</t>
  </si>
  <si>
    <t>Produtc</t>
  </si>
  <si>
    <t>Recyle Stream</t>
  </si>
  <si>
    <t>Exit Stream</t>
  </si>
  <si>
    <t>Purity</t>
  </si>
  <si>
    <t>2 s</t>
  </si>
  <si>
    <t>3 s</t>
  </si>
  <si>
    <t>4 s</t>
  </si>
  <si>
    <t> 2013-Jan</t>
  </si>
  <si>
    <t>2.267   </t>
  </si>
  <si>
    <t>   </t>
  </si>
  <si>
    <t>  2013-Feb</t>
  </si>
  <si>
    <t>2.306   </t>
  </si>
  <si>
    <t>  2013-Mar</t>
  </si>
  <si>
    <t>2.317   </t>
  </si>
  <si>
    <t>  2013-Oct</t>
  </si>
  <si>
    <t>2.358   </t>
  </si>
  <si>
    <t>  2013-Nov</t>
  </si>
  <si>
    <t>2.450   </t>
  </si>
  <si>
    <t>2.482   </t>
  </si>
  <si>
    <t>  2013-Dec</t>
  </si>
  <si>
    <t>2.566   </t>
  </si>
  <si>
    <t>  2014-Jan</t>
  </si>
  <si>
    <t>2.829   </t>
  </si>
  <si>
    <t>  2014-Feb</t>
  </si>
  <si>
    <t>3.891   </t>
  </si>
  <si>
    <t>  2014-Mar</t>
  </si>
  <si>
    <t>3.301   </t>
  </si>
  <si>
    <t>  2014-Oct</t>
  </si>
  <si>
    <t>  2014-Nov</t>
  </si>
  <si>
    <t>2.401   </t>
  </si>
  <si>
    <t>  2014-Dec</t>
  </si>
  <si>
    <t>2.407   </t>
  </si>
  <si>
    <t>2.368   </t>
  </si>
  <si>
    <t>  2015-Jan</t>
  </si>
  <si>
    <t>  2015-Feb</t>
  </si>
  <si>
    <t>  2015-Mar</t>
  </si>
  <si>
    <t>2.370   </t>
  </si>
  <si>
    <t>2.342   </t>
  </si>
  <si>
    <t>  2015-Oct</t>
  </si>
  <si>
    <t>1.980   </t>
  </si>
  <si>
    <t>  2015-Nov</t>
  </si>
  <si>
    <t>1.924   </t>
  </si>
  <si>
    <t>  2015-Dec</t>
  </si>
  <si>
    <t>1.969   </t>
  </si>
  <si>
    <t>  2016-Jan</t>
  </si>
  <si>
    <t>2.001   </t>
  </si>
  <si>
    <t>2.020   </t>
  </si>
  <si>
    <t>  2016-Feb</t>
  </si>
  <si>
    <t>2.022   </t>
  </si>
  <si>
    <t>  2016-Mar</t>
  </si>
  <si>
    <t>  2016-Oct</t>
  </si>
  <si>
    <t>1.984   </t>
  </si>
  <si>
    <t>  2016-Nov</t>
  </si>
  <si>
    <t>2.064   </t>
  </si>
  <si>
    <t>  2016-Dec</t>
  </si>
  <si>
    <t>2.118   </t>
  </si>
  <si>
    <t>  2017-Jan</t>
  </si>
  <si>
    <t>2.271   </t>
  </si>
  <si>
    <t>2.354   </t>
  </si>
  <si>
    <t>  2017-Feb</t>
  </si>
  <si>
    <t>2.453   </t>
  </si>
  <si>
    <t>  2017-Mar</t>
  </si>
  <si>
    <t>2.419   </t>
  </si>
  <si>
    <t>2.405   </t>
  </si>
  <si>
    <t>3.373   </t>
  </si>
  <si>
    <t>3.604   </t>
  </si>
  <si>
    <t>3.826   </t>
  </si>
  <si>
    <t>3.714   </t>
  </si>
  <si>
    <t>3.602   </t>
  </si>
  <si>
    <t>3.705   </t>
  </si>
  <si>
    <t>3.567   </t>
  </si>
  <si>
    <t>3.701   </t>
  </si>
  <si>
    <t>3.678   </t>
  </si>
  <si>
    <t>3.441   </t>
  </si>
  <si>
    <t>3.372   </t>
  </si>
  <si>
    <t>3.343   </t>
  </si>
  <si>
    <t>3.353   </t>
  </si>
  <si>
    <t>3.411   </t>
  </si>
  <si>
    <t>3.553   </t>
  </si>
  <si>
    <t>3.670   </t>
  </si>
  <si>
    <t>3.761   </t>
  </si>
  <si>
    <t>3.765   </t>
  </si>
  <si>
    <t>3.753   </t>
  </si>
  <si>
    <t>3.595   </t>
  </si>
  <si>
    <t>3.536   </t>
  </si>
  <si>
    <t>3.382   </t>
  </si>
  <si>
    <t>3.077   </t>
  </si>
  <si>
    <t>2.864   </t>
  </si>
  <si>
    <t>2.308   </t>
  </si>
  <si>
    <t>2.154   </t>
  </si>
  <si>
    <t>2.415   </t>
  </si>
  <si>
    <t>2.556   </t>
  </si>
  <si>
    <t>2.499   </t>
  </si>
  <si>
    <t>2.749   </t>
  </si>
  <si>
    <t>2.863   </t>
  </si>
  <si>
    <t>2.877   </t>
  </si>
  <si>
    <t>2.779   </t>
  </si>
  <si>
    <t>2.532   </t>
  </si>
  <si>
    <t>2.471   </t>
  </si>
  <si>
    <t>2.322   </t>
  </si>
  <si>
    <t>2.159   </t>
  </si>
  <si>
    <t>2.135   </t>
  </si>
  <si>
    <t>1.932   </t>
  </si>
  <si>
    <t>1.943   </t>
  </si>
  <si>
    <t>2.185   </t>
  </si>
  <si>
    <t>2.345   </t>
  </si>
  <si>
    <t>2.396   </t>
  </si>
  <si>
    <t>2.329   </t>
  </si>
  <si>
    <t>2.321   </t>
  </si>
  <si>
    <t>2.485   </t>
  </si>
  <si>
    <t>2.452   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</si>
</sst>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"/>
  </numFmts>
  <fonts count="7" x14ac:knownFonts="1">
    <font>
      <sz val="9"/>
      <name val="Arial"/>
      <family val="2"/>
    </font>
    <font>
      <sz val="9"/>
      <color rgb="FFFF000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b/>
      <sz val="9"/>
      <name val="Arial"/>
      <family val="2"/>
    </font>
    <font>
      <sz val="9"/>
      <name val="Times New Roman"/>
      <family val="1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DDDDD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76">
    <xf numFmtId="0" fontId="0" fillId="0" borderId="0" xfId="0"/>
    <xf numFmtId="0" fontId="0" fillId="3" borderId="0" xfId="0" applyFill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4" borderId="1" xfId="0" applyFont="1" applyFill="1" applyBorder="1"/>
    <xf numFmtId="0" fontId="0" fillId="6" borderId="1" xfId="0" applyFill="1" applyBorder="1"/>
    <xf numFmtId="0" fontId="0" fillId="6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7" borderId="1" xfId="0" applyFill="1" applyBorder="1"/>
    <xf numFmtId="0" fontId="0" fillId="0" borderId="0" xfId="0" applyFont="1" applyBorder="1"/>
    <xf numFmtId="0" fontId="0" fillId="0" borderId="0" xfId="0" applyBorder="1"/>
    <xf numFmtId="0" fontId="0" fillId="9" borderId="1" xfId="0" applyFill="1" applyBorder="1"/>
    <xf numFmtId="0" fontId="0" fillId="9" borderId="0" xfId="0" applyFill="1"/>
    <xf numFmtId="0" fontId="0" fillId="9" borderId="1" xfId="0" applyFont="1" applyFill="1" applyBorder="1"/>
    <xf numFmtId="0" fontId="0" fillId="3" borderId="0" xfId="0" applyFill="1" applyBorder="1"/>
    <xf numFmtId="0" fontId="0" fillId="10" borderId="1" xfId="0" applyFill="1" applyBorder="1"/>
    <xf numFmtId="0" fontId="0" fillId="10" borderId="0" xfId="0" applyFill="1"/>
    <xf numFmtId="0" fontId="0" fillId="10" borderId="3" xfId="0" applyFill="1" applyBorder="1"/>
    <xf numFmtId="0" fontId="0" fillId="4" borderId="2" xfId="0" applyFill="1" applyBorder="1"/>
    <xf numFmtId="0" fontId="0" fillId="4" borderId="2" xfId="0" applyFont="1" applyFill="1" applyBorder="1"/>
    <xf numFmtId="0" fontId="0" fillId="6" borderId="2" xfId="0" applyFill="1" applyBorder="1"/>
    <xf numFmtId="0" fontId="0" fillId="6" borderId="2" xfId="0" applyFont="1" applyFill="1" applyBorder="1"/>
    <xf numFmtId="0" fontId="0" fillId="9" borderId="2" xfId="0" applyFill="1" applyBorder="1"/>
    <xf numFmtId="0" fontId="0" fillId="9" borderId="2" xfId="0" applyFont="1" applyFill="1" applyBorder="1"/>
    <xf numFmtId="0" fontId="0" fillId="10" borderId="4" xfId="0" applyFill="1" applyBorder="1"/>
    <xf numFmtId="0" fontId="0" fillId="3" borderId="5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10" borderId="2" xfId="0" applyFill="1" applyBorder="1"/>
    <xf numFmtId="0" fontId="0" fillId="8" borderId="1" xfId="1" applyNumberFormat="1" applyFont="1" applyFill="1" applyBorder="1"/>
    <xf numFmtId="0" fontId="0" fillId="8" borderId="1" xfId="0" applyFill="1" applyBorder="1"/>
    <xf numFmtId="164" fontId="0" fillId="0" borderId="1" xfId="0" applyNumberFormat="1" applyBorder="1"/>
    <xf numFmtId="2" fontId="0" fillId="0" borderId="0" xfId="0" applyNumberFormat="1"/>
    <xf numFmtId="164" fontId="0" fillId="0" borderId="2" xfId="0" applyNumberFormat="1" applyBorder="1"/>
    <xf numFmtId="164" fontId="0" fillId="0" borderId="0" xfId="0" applyNumberFormat="1"/>
    <xf numFmtId="1" fontId="0" fillId="3" borderId="1" xfId="0" applyNumberFormat="1" applyFill="1" applyBorder="1"/>
    <xf numFmtId="1" fontId="0" fillId="3" borderId="1" xfId="1" applyNumberFormat="1" applyFont="1" applyFill="1" applyBorder="1"/>
    <xf numFmtId="0" fontId="0" fillId="0" borderId="6" xfId="0" applyFill="1" applyBorder="1"/>
    <xf numFmtId="0" fontId="0" fillId="0" borderId="3" xfId="0" applyBorder="1"/>
    <xf numFmtId="0" fontId="0" fillId="0" borderId="1" xfId="0" applyBorder="1" applyAlignment="1">
      <alignment horizontal="center"/>
    </xf>
    <xf numFmtId="0" fontId="0" fillId="3" borderId="3" xfId="0" applyFill="1" applyBorder="1"/>
    <xf numFmtId="0" fontId="0" fillId="2" borderId="3" xfId="0" applyFill="1" applyBorder="1"/>
    <xf numFmtId="0" fontId="0" fillId="0" borderId="3" xfId="0" applyFill="1" applyBorder="1"/>
    <xf numFmtId="164" fontId="0" fillId="0" borderId="4" xfId="0" applyNumberFormat="1" applyBorder="1"/>
    <xf numFmtId="164" fontId="0" fillId="3" borderId="0" xfId="0" applyNumberFormat="1" applyFill="1"/>
    <xf numFmtId="164" fontId="0" fillId="3" borderId="0" xfId="0" applyNumberFormat="1" applyFill="1" applyBorder="1"/>
    <xf numFmtId="0" fontId="3" fillId="3" borderId="3" xfId="0" applyFont="1" applyFill="1" applyBorder="1"/>
    <xf numFmtId="0" fontId="0" fillId="0" borderId="1" xfId="0" applyFont="1" applyFill="1" applyBorder="1"/>
    <xf numFmtId="9" fontId="0" fillId="0" borderId="0" xfId="0" applyNumberFormat="1"/>
    <xf numFmtId="0" fontId="0" fillId="0" borderId="1" xfId="0" applyNumberFormat="1" applyBorder="1"/>
    <xf numFmtId="9" fontId="0" fillId="0" borderId="1" xfId="0" applyNumberFormat="1" applyBorder="1"/>
    <xf numFmtId="2" fontId="0" fillId="0" borderId="1" xfId="0" applyNumberFormat="1" applyBorder="1"/>
    <xf numFmtId="0" fontId="4" fillId="3" borderId="1" xfId="0" applyFont="1" applyFill="1" applyBorder="1"/>
    <xf numFmtId="44" fontId="0" fillId="0" borderId="1" xfId="1" applyFont="1" applyBorder="1"/>
    <xf numFmtId="0" fontId="4" fillId="0" borderId="1" xfId="0" applyFont="1" applyBorder="1"/>
    <xf numFmtId="0" fontId="0" fillId="0" borderId="5" xfId="0" applyBorder="1"/>
    <xf numFmtId="0" fontId="0" fillId="0" borderId="5" xfId="0" applyFill="1" applyBorder="1"/>
    <xf numFmtId="0" fontId="0" fillId="0" borderId="5" xfId="0" applyFont="1" applyBorder="1"/>
    <xf numFmtId="0" fontId="0" fillId="11" borderId="1" xfId="0" applyFill="1" applyBorder="1"/>
    <xf numFmtId="0" fontId="0" fillId="0" borderId="1" xfId="1" applyNumberFormat="1" applyFont="1" applyBorder="1"/>
    <xf numFmtId="44" fontId="0" fillId="8" borderId="1" xfId="1" applyFont="1" applyFill="1" applyBorder="1"/>
    <xf numFmtId="44" fontId="0" fillId="3" borderId="1" xfId="1" applyFont="1" applyFill="1" applyBorder="1"/>
    <xf numFmtId="1" fontId="0" fillId="0" borderId="7" xfId="0" applyNumberFormat="1" applyBorder="1"/>
    <xf numFmtId="44" fontId="0" fillId="0" borderId="0" xfId="1" applyFont="1"/>
    <xf numFmtId="0" fontId="4" fillId="0" borderId="1" xfId="0" applyFont="1" applyBorder="1" applyAlignment="1">
      <alignment horizontal="center"/>
    </xf>
    <xf numFmtId="0" fontId="0" fillId="12" borderId="0" xfId="0" applyFill="1" applyAlignment="1">
      <alignment horizontal="left" vertical="center" wrapText="1"/>
    </xf>
    <xf numFmtId="0" fontId="5" fillId="0" borderId="0" xfId="0" applyFont="1" applyAlignment="1">
      <alignment horizontal="right" vertical="center" wrapText="1"/>
    </xf>
    <xf numFmtId="0" fontId="6" fillId="0" borderId="0" xfId="0" applyFont="1" applyAlignment="1">
      <alignment vertical="center" wrapText="1"/>
    </xf>
    <xf numFmtId="44" fontId="0" fillId="3" borderId="0" xfId="1" applyFont="1" applyFill="1" applyBorder="1"/>
    <xf numFmtId="44" fontId="0" fillId="3" borderId="0" xfId="1" applyFont="1" applyFill="1"/>
    <xf numFmtId="0" fontId="6" fillId="0" borderId="0" xfId="0" applyFont="1" applyAlignment="1">
      <alignment horizontal="left" vertical="center" wrapText="1"/>
    </xf>
  </cellXfs>
  <cellStyles count="2">
    <cellStyle name="Currency" xfId="1" builtinId="4"/>
    <cellStyle name="Normal" xfId="0" builtinId="0" customBuiltin="1"/>
  </cellStyles>
  <dxfs count="0"/>
  <tableStyles count="0" defaultTableStyle="TableStyleMedium2" defaultPivotStyle="PivotStyleLight16"/>
  <colors>
    <mruColors>
      <color rgb="FFDC404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</a:t>
            </a:r>
            <a:r>
              <a:rPr lang="en-US" baseline="0"/>
              <a:t> Tower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1"/>
              <c:layout>
                <c:manualLayout>
                  <c:x val="-9.9541557305336828E-2"/>
                  <c:y val="4.26053514144065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-9.7580489938757661E-2"/>
                  <c:y val="-4.341134441528142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4.9102580927384079E-2"/>
                  <c:y val="-5.110965296004665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3.7279527559055121E-2"/>
                  <c:y val="-1.869787109944590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0.12487576552930883"/>
                  <c:y val="9.0897491980169148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Cost!$AK$3:$AK$8</c:f>
              <c:strCache>
                <c:ptCount val="6"/>
                <c:pt idx="0">
                  <c:v>Tower</c:v>
                </c:pt>
                <c:pt idx="1">
                  <c:v>Condenser</c:v>
                </c:pt>
                <c:pt idx="2">
                  <c:v>Fired Heater</c:v>
                </c:pt>
                <c:pt idx="3">
                  <c:v>Pump Distillate</c:v>
                </c:pt>
                <c:pt idx="4">
                  <c:v>Pump Bottom</c:v>
                </c:pt>
                <c:pt idx="5">
                  <c:v>Surge Tank</c:v>
                </c:pt>
              </c:strCache>
            </c:strRef>
          </c:cat>
          <c:val>
            <c:numRef>
              <c:f>Cost!$AL$3:$AL$8</c:f>
              <c:numCache>
                <c:formatCode>_("$"* #,##0.00_);_("$"* \(#,##0.00\);_("$"* "-"??_);_(@_)</c:formatCode>
                <c:ptCount val="6"/>
                <c:pt idx="0">
                  <c:v>42000000</c:v>
                </c:pt>
                <c:pt idx="1">
                  <c:v>170000</c:v>
                </c:pt>
                <c:pt idx="2">
                  <c:v>16000000</c:v>
                </c:pt>
                <c:pt idx="3">
                  <c:v>11000</c:v>
                </c:pt>
                <c:pt idx="4">
                  <c:v>8000</c:v>
                </c:pt>
                <c:pt idx="5">
                  <c:v>51000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Gasoline Tower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Cost!$AK$21:$AK$26</c:f>
              <c:strCache>
                <c:ptCount val="6"/>
                <c:pt idx="0">
                  <c:v>Tower</c:v>
                </c:pt>
                <c:pt idx="1">
                  <c:v>Condenser</c:v>
                </c:pt>
                <c:pt idx="2">
                  <c:v>Reboiler</c:v>
                </c:pt>
                <c:pt idx="3">
                  <c:v>Pump Distillate</c:v>
                </c:pt>
                <c:pt idx="4">
                  <c:v>Pump Bottom</c:v>
                </c:pt>
                <c:pt idx="5">
                  <c:v>Surge Tank</c:v>
                </c:pt>
              </c:strCache>
            </c:strRef>
          </c:cat>
          <c:val>
            <c:numRef>
              <c:f>Cost!$AL$21:$AL$26</c:f>
              <c:numCache>
                <c:formatCode>_("$"* #,##0.00_);_("$"* \(#,##0.00\);_("$"* "-"??_);_(@_)</c:formatCode>
                <c:ptCount val="6"/>
                <c:pt idx="0">
                  <c:v>820000</c:v>
                </c:pt>
                <c:pt idx="1">
                  <c:v>1200000</c:v>
                </c:pt>
                <c:pt idx="2">
                  <c:v>550000</c:v>
                </c:pt>
                <c:pt idx="3">
                  <c:v>9600</c:v>
                </c:pt>
                <c:pt idx="4">
                  <c:v>16000</c:v>
                </c:pt>
                <c:pt idx="5">
                  <c:v>39000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LCO Tower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Cost!$AK$39:$AK$44</c:f>
              <c:strCache>
                <c:ptCount val="6"/>
                <c:pt idx="0">
                  <c:v>Tower</c:v>
                </c:pt>
                <c:pt idx="1">
                  <c:v>Condenser</c:v>
                </c:pt>
                <c:pt idx="2">
                  <c:v>Fired Heater</c:v>
                </c:pt>
                <c:pt idx="3">
                  <c:v>Pump Distillate</c:v>
                </c:pt>
                <c:pt idx="4">
                  <c:v>Pump Bottom</c:v>
                </c:pt>
                <c:pt idx="5">
                  <c:v>Surge Tank</c:v>
                </c:pt>
              </c:strCache>
            </c:strRef>
          </c:cat>
          <c:val>
            <c:numRef>
              <c:f>Cost!$AL$39:$AL$44</c:f>
              <c:numCache>
                <c:formatCode>_("$"* #,##0.00_);_("$"* \(#,##0.00\);_("$"* "-"??_);_(@_)</c:formatCode>
                <c:ptCount val="6"/>
                <c:pt idx="0">
                  <c:v>330000</c:v>
                </c:pt>
                <c:pt idx="1">
                  <c:v>400000</c:v>
                </c:pt>
                <c:pt idx="2">
                  <c:v>1300000</c:v>
                </c:pt>
                <c:pt idx="3">
                  <c:v>11000</c:v>
                </c:pt>
                <c:pt idx="4">
                  <c:v>9700</c:v>
                </c:pt>
                <c:pt idx="5">
                  <c:v>56000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LPG</a:t>
            </a:r>
            <a:r>
              <a:rPr lang="en-US" baseline="0"/>
              <a:t> &amp; DG Tower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Cost!$AK$91:$AK$96</c:f>
              <c:strCache>
                <c:ptCount val="6"/>
                <c:pt idx="0">
                  <c:v>Tower</c:v>
                </c:pt>
                <c:pt idx="1">
                  <c:v>Condenser</c:v>
                </c:pt>
                <c:pt idx="2">
                  <c:v>Reboiler</c:v>
                </c:pt>
                <c:pt idx="3">
                  <c:v>Pump Distillate</c:v>
                </c:pt>
                <c:pt idx="4">
                  <c:v>Pump Bottom</c:v>
                </c:pt>
                <c:pt idx="5">
                  <c:v>Surge Tank</c:v>
                </c:pt>
              </c:strCache>
            </c:strRef>
          </c:cat>
          <c:val>
            <c:numRef>
              <c:f>Cost!$AL$91:$AL$96</c:f>
              <c:numCache>
                <c:formatCode>_("$"* #,##0.00_);_("$"* \(#,##0.00\);_("$"* "-"??_);_(@_)</c:formatCode>
                <c:ptCount val="6"/>
                <c:pt idx="0">
                  <c:v>52000</c:v>
                </c:pt>
                <c:pt idx="1">
                  <c:v>1000000</c:v>
                </c:pt>
                <c:pt idx="2">
                  <c:v>3700000</c:v>
                </c:pt>
                <c:pt idx="3">
                  <c:v>8200</c:v>
                </c:pt>
                <c:pt idx="4">
                  <c:v>9800</c:v>
                </c:pt>
                <c:pt idx="5">
                  <c:v>25000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FCC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Cost!$AK$61:$AK$63</c:f>
              <c:strCache>
                <c:ptCount val="3"/>
                <c:pt idx="0">
                  <c:v>Reactor</c:v>
                </c:pt>
                <c:pt idx="1">
                  <c:v>Regenerator</c:v>
                </c:pt>
                <c:pt idx="2">
                  <c:v>Heat Exchanger</c:v>
                </c:pt>
              </c:strCache>
            </c:strRef>
          </c:cat>
          <c:val>
            <c:numRef>
              <c:f>Cost!$AL$61:$AL$63</c:f>
              <c:numCache>
                <c:formatCode>_("$"* #,##0.00_);_("$"* \(#,##0.00\);_("$"* "-"??_);_(@_)</c:formatCode>
                <c:ptCount val="3"/>
                <c:pt idx="0">
                  <c:v>68000</c:v>
                </c:pt>
                <c:pt idx="1">
                  <c:v>85000</c:v>
                </c:pt>
                <c:pt idx="2">
                  <c:v>12000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Fractionator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1"/>
              <c:layout>
                <c:manualLayout>
                  <c:x val="-9.858705161854768E-3"/>
                  <c:y val="5.0182268883056285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-5.4546150481189848E-3"/>
                  <c:y val="-3.15277777777777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3.0865376202974627E-2"/>
                  <c:y val="-1.374307378244386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Cost!$AK$112:$AK$115</c:f>
              <c:strCache>
                <c:ptCount val="4"/>
                <c:pt idx="0">
                  <c:v>Main Tower</c:v>
                </c:pt>
                <c:pt idx="1">
                  <c:v>LCO Tower</c:v>
                </c:pt>
                <c:pt idx="2">
                  <c:v>Gasoline Tower</c:v>
                </c:pt>
                <c:pt idx="3">
                  <c:v>LPG &amp; DG Tower</c:v>
                </c:pt>
              </c:strCache>
            </c:strRef>
          </c:cat>
          <c:val>
            <c:numRef>
              <c:f>Cost!$AL$112:$AL$115</c:f>
              <c:numCache>
                <c:formatCode>_("$"* #,##0.00_);_("$"* \(#,##0.00\);_("$"* "-"??_);_(@_)</c:formatCode>
                <c:ptCount val="4"/>
                <c:pt idx="0">
                  <c:v>59000000</c:v>
                </c:pt>
                <c:pt idx="1">
                  <c:v>2100000</c:v>
                </c:pt>
                <c:pt idx="2">
                  <c:v>2600000</c:v>
                </c:pt>
                <c:pt idx="3">
                  <c:v>4800000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FCC</a:t>
            </a:r>
            <a:r>
              <a:rPr lang="en-US" baseline="0"/>
              <a:t> Components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1"/>
              <c:layout>
                <c:manualLayout>
                  <c:x val="-1.692959655574908E-2"/>
                  <c:y val="2.422717993584135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-2.2964211854786771E-2"/>
                  <c:y val="-3.579542140565762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4.6883779182591767E-3"/>
                  <c:y val="-3.660979877515310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3.2216887742123779E-2"/>
                  <c:y val="-3.082822980460775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5.470462457396378E-2"/>
                  <c:y val="-2.051472732575094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Cost!$AK$112:$AK$117</c:f>
              <c:strCache>
                <c:ptCount val="6"/>
                <c:pt idx="0">
                  <c:v>Main Tower</c:v>
                </c:pt>
                <c:pt idx="1">
                  <c:v>LCO Tower</c:v>
                </c:pt>
                <c:pt idx="2">
                  <c:v>Gasoline Tower</c:v>
                </c:pt>
                <c:pt idx="3">
                  <c:v>LPG &amp; DG Tower</c:v>
                </c:pt>
                <c:pt idx="4">
                  <c:v>Reactor</c:v>
                </c:pt>
                <c:pt idx="5">
                  <c:v>Regenerator</c:v>
                </c:pt>
              </c:strCache>
            </c:strRef>
          </c:cat>
          <c:val>
            <c:numRef>
              <c:f>Cost!$AL$112:$AL$117</c:f>
              <c:numCache>
                <c:formatCode>_("$"* #,##0.00_);_("$"* \(#,##0.00\);_("$"* "-"??_);_(@_)</c:formatCode>
                <c:ptCount val="6"/>
                <c:pt idx="0">
                  <c:v>59000000</c:v>
                </c:pt>
                <c:pt idx="1">
                  <c:v>2100000</c:v>
                </c:pt>
                <c:pt idx="2">
                  <c:v>2600000</c:v>
                </c:pt>
                <c:pt idx="3">
                  <c:v>4800000</c:v>
                </c:pt>
                <c:pt idx="4">
                  <c:v>680000</c:v>
                </c:pt>
                <c:pt idx="5">
                  <c:v>850000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Present Value Sensitivity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NPV!$L$30</c:f>
              <c:strCache>
                <c:ptCount val="1"/>
                <c:pt idx="0">
                  <c:v>Feed $/lb</c:v>
                </c:pt>
              </c:strCache>
            </c:strRef>
          </c:tx>
          <c:spPr>
            <a:ln w="28575">
              <a:noFill/>
            </a:ln>
          </c:spPr>
          <c:xVal>
            <c:numRef>
              <c:f>NPV!$K$31:$K$34</c:f>
              <c:numCache>
                <c:formatCode>General</c:formatCode>
                <c:ptCount val="4"/>
                <c:pt idx="0">
                  <c:v>-40</c:v>
                </c:pt>
                <c:pt idx="1">
                  <c:v>-20</c:v>
                </c:pt>
                <c:pt idx="2">
                  <c:v>20</c:v>
                </c:pt>
                <c:pt idx="3">
                  <c:v>40</c:v>
                </c:pt>
              </c:numCache>
            </c:numRef>
          </c:xVal>
          <c:yVal>
            <c:numRef>
              <c:f>NPV!$L$31:$L$34</c:f>
              <c:numCache>
                <c:formatCode>General</c:formatCode>
                <c:ptCount val="4"/>
                <c:pt idx="0">
                  <c:v>131</c:v>
                </c:pt>
                <c:pt idx="1">
                  <c:v>115</c:v>
                </c:pt>
                <c:pt idx="2">
                  <c:v>87</c:v>
                </c:pt>
                <c:pt idx="3">
                  <c:v>70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NPV!$M$30</c:f>
              <c:strCache>
                <c:ptCount val="1"/>
                <c:pt idx="0">
                  <c:v>Dry Gas $/lb</c:v>
                </c:pt>
              </c:strCache>
            </c:strRef>
          </c:tx>
          <c:spPr>
            <a:ln w="28575">
              <a:noFill/>
            </a:ln>
          </c:spPr>
          <c:xVal>
            <c:numRef>
              <c:f>NPV!$K$31:$K$34</c:f>
              <c:numCache>
                <c:formatCode>General</c:formatCode>
                <c:ptCount val="4"/>
                <c:pt idx="0">
                  <c:v>-40</c:v>
                </c:pt>
                <c:pt idx="1">
                  <c:v>-20</c:v>
                </c:pt>
                <c:pt idx="2">
                  <c:v>20</c:v>
                </c:pt>
                <c:pt idx="3">
                  <c:v>40</c:v>
                </c:pt>
              </c:numCache>
            </c:numRef>
          </c:xVal>
          <c:yVal>
            <c:numRef>
              <c:f>NPV!$M$31:$M$34</c:f>
              <c:numCache>
                <c:formatCode>General</c:formatCode>
                <c:ptCount val="4"/>
                <c:pt idx="0">
                  <c:v>94</c:v>
                </c:pt>
                <c:pt idx="1">
                  <c:v>97</c:v>
                </c:pt>
                <c:pt idx="2">
                  <c:v>102</c:v>
                </c:pt>
                <c:pt idx="3">
                  <c:v>105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NPV!$N$30</c:f>
              <c:strCache>
                <c:ptCount val="1"/>
                <c:pt idx="0">
                  <c:v>LPG $/lb</c:v>
                </c:pt>
              </c:strCache>
            </c:strRef>
          </c:tx>
          <c:spPr>
            <a:ln w="28575">
              <a:noFill/>
            </a:ln>
          </c:spPr>
          <c:xVal>
            <c:numRef>
              <c:f>NPV!$K$31:$K$34</c:f>
              <c:numCache>
                <c:formatCode>General</c:formatCode>
                <c:ptCount val="4"/>
                <c:pt idx="0">
                  <c:v>-40</c:v>
                </c:pt>
                <c:pt idx="1">
                  <c:v>-20</c:v>
                </c:pt>
                <c:pt idx="2">
                  <c:v>20</c:v>
                </c:pt>
                <c:pt idx="3">
                  <c:v>40</c:v>
                </c:pt>
              </c:numCache>
            </c:numRef>
          </c:xVal>
          <c:yVal>
            <c:numRef>
              <c:f>NPV!$N$31:$N$34</c:f>
              <c:numCache>
                <c:formatCode>General</c:formatCode>
                <c:ptCount val="4"/>
                <c:pt idx="0">
                  <c:v>67</c:v>
                </c:pt>
                <c:pt idx="1">
                  <c:v>82</c:v>
                </c:pt>
                <c:pt idx="2">
                  <c:v>115</c:v>
                </c:pt>
                <c:pt idx="3">
                  <c:v>134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NPV!$O$30</c:f>
              <c:strCache>
                <c:ptCount val="1"/>
                <c:pt idx="0">
                  <c:v>Gasoline $/lb</c:v>
                </c:pt>
              </c:strCache>
            </c:strRef>
          </c:tx>
          <c:spPr>
            <a:ln w="28575">
              <a:noFill/>
            </a:ln>
          </c:spPr>
          <c:xVal>
            <c:numRef>
              <c:f>NPV!$K$31:$K$34</c:f>
              <c:numCache>
                <c:formatCode>General</c:formatCode>
                <c:ptCount val="4"/>
                <c:pt idx="0">
                  <c:v>-40</c:v>
                </c:pt>
                <c:pt idx="1">
                  <c:v>-20</c:v>
                </c:pt>
                <c:pt idx="2">
                  <c:v>20</c:v>
                </c:pt>
                <c:pt idx="3">
                  <c:v>40</c:v>
                </c:pt>
              </c:numCache>
            </c:numRef>
          </c:xVal>
          <c:yVal>
            <c:numRef>
              <c:f>NPV!$O$31:$O$34</c:f>
              <c:numCache>
                <c:formatCode>General</c:formatCode>
                <c:ptCount val="4"/>
                <c:pt idx="0">
                  <c:v>56</c:v>
                </c:pt>
                <c:pt idx="1">
                  <c:v>78</c:v>
                </c:pt>
                <c:pt idx="2">
                  <c:v>126</c:v>
                </c:pt>
                <c:pt idx="3">
                  <c:v>145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NPV!$P$30</c:f>
              <c:strCache>
                <c:ptCount val="1"/>
                <c:pt idx="0">
                  <c:v>LCO $/lb</c:v>
                </c:pt>
              </c:strCache>
            </c:strRef>
          </c:tx>
          <c:spPr>
            <a:ln w="28575">
              <a:noFill/>
            </a:ln>
          </c:spPr>
          <c:xVal>
            <c:numRef>
              <c:f>NPV!$K$31:$K$34</c:f>
              <c:numCache>
                <c:formatCode>General</c:formatCode>
                <c:ptCount val="4"/>
                <c:pt idx="0">
                  <c:v>-40</c:v>
                </c:pt>
                <c:pt idx="1">
                  <c:v>-20</c:v>
                </c:pt>
                <c:pt idx="2">
                  <c:v>20</c:v>
                </c:pt>
                <c:pt idx="3">
                  <c:v>40</c:v>
                </c:pt>
              </c:numCache>
            </c:numRef>
          </c:xVal>
          <c:yVal>
            <c:numRef>
              <c:f>NPV!$P$31:$P$34</c:f>
              <c:numCache>
                <c:formatCode>General</c:formatCode>
                <c:ptCount val="4"/>
                <c:pt idx="0">
                  <c:v>78</c:v>
                </c:pt>
                <c:pt idx="1">
                  <c:v>90</c:v>
                </c:pt>
                <c:pt idx="2">
                  <c:v>112</c:v>
                </c:pt>
                <c:pt idx="3">
                  <c:v>120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NPV!$Q$30</c:f>
              <c:strCache>
                <c:ptCount val="1"/>
                <c:pt idx="0">
                  <c:v>HCO $/lb</c:v>
                </c:pt>
              </c:strCache>
            </c:strRef>
          </c:tx>
          <c:spPr>
            <a:ln w="28575">
              <a:noFill/>
            </a:ln>
          </c:spPr>
          <c:xVal>
            <c:numRef>
              <c:f>NPV!$K$31:$K$34</c:f>
              <c:numCache>
                <c:formatCode>General</c:formatCode>
                <c:ptCount val="4"/>
                <c:pt idx="0">
                  <c:v>-40</c:v>
                </c:pt>
                <c:pt idx="1">
                  <c:v>-20</c:v>
                </c:pt>
                <c:pt idx="2">
                  <c:v>20</c:v>
                </c:pt>
                <c:pt idx="3">
                  <c:v>40</c:v>
                </c:pt>
              </c:numCache>
            </c:numRef>
          </c:xVal>
          <c:yVal>
            <c:numRef>
              <c:f>NPV!$Q$31:$Q$34</c:f>
              <c:numCache>
                <c:formatCode>General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51008"/>
        <c:axId val="171247104"/>
      </c:scatterChart>
      <c:valAx>
        <c:axId val="170651008"/>
        <c:scaling>
          <c:orientation val="minMax"/>
          <c:max val="40"/>
          <c:min val="-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  <a:r>
                  <a:rPr lang="en-US" baseline="0"/>
                  <a:t> Change  Component Price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247104"/>
        <c:crosses val="autoZero"/>
        <c:crossBetween val="midCat"/>
        <c:majorUnit val="20"/>
      </c:valAx>
      <c:valAx>
        <c:axId val="171247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 Change  Net Present</a:t>
                </a:r>
                <a:r>
                  <a:rPr lang="en-US" baseline="0"/>
                  <a:t> Value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490353190235957E-2"/>
              <c:y val="0.2227934207959279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170651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Utility</a:t>
            </a:r>
            <a:r>
              <a:rPr lang="en-US" baseline="0"/>
              <a:t> Costs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1"/>
              <c:layout>
                <c:manualLayout>
                  <c:x val="1.6872068410803489E-2"/>
                  <c:y val="-3.920602418430011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-2.5123444246888494E-2"/>
                  <c:y val="-6.140334282532129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5.0128524257048515E-2"/>
                  <c:y val="-2.63673672600585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3.3994073321479974E-2"/>
                  <c:y val="1.898337535812660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6.2770806874947085E-2"/>
                  <c:y val="4.988924012147102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NPV!$AE$4:$AE$10</c:f>
              <c:strCache>
                <c:ptCount val="7"/>
                <c:pt idx="0">
                  <c:v>Main Tower Condenser</c:v>
                </c:pt>
                <c:pt idx="1">
                  <c:v>LCO Tower Condenser</c:v>
                </c:pt>
                <c:pt idx="2">
                  <c:v>Gasoline Tower Condenser</c:v>
                </c:pt>
                <c:pt idx="3">
                  <c:v>Gasoline Tower Reboiler</c:v>
                </c:pt>
                <c:pt idx="4">
                  <c:v>LPG/DG Tower Condesner</c:v>
                </c:pt>
                <c:pt idx="5">
                  <c:v>LPG/DG Tower Reboiler</c:v>
                </c:pt>
                <c:pt idx="6">
                  <c:v>Pre Fractionator Heat Exchanger</c:v>
                </c:pt>
              </c:strCache>
            </c:strRef>
          </c:cat>
          <c:val>
            <c:numRef>
              <c:f>NPV!$AF$4:$AF$10</c:f>
              <c:numCache>
                <c:formatCode>_("$"* #,##0.00_);_("$"* \(#,##0.00\);_("$"* "-"??_);_(@_)</c:formatCode>
                <c:ptCount val="7"/>
                <c:pt idx="0">
                  <c:v>29000</c:v>
                </c:pt>
                <c:pt idx="1">
                  <c:v>1000</c:v>
                </c:pt>
                <c:pt idx="2">
                  <c:v>200</c:v>
                </c:pt>
                <c:pt idx="3">
                  <c:v>22000</c:v>
                </c:pt>
                <c:pt idx="4">
                  <c:v>200</c:v>
                </c:pt>
                <c:pt idx="5">
                  <c:v>4700</c:v>
                </c:pt>
                <c:pt idx="6">
                  <c:v>480000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4172222222222219"/>
          <c:y val="0.17163385826771654"/>
          <c:w val="0.34161111111111109"/>
          <c:h val="0.758468212306794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Reactor</a:t>
            </a:r>
            <a:r>
              <a:rPr lang="en-US" baseline="0"/>
              <a:t> Temperature and Residence Time vs NPV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 seconds</c:v>
          </c:tx>
          <c:spPr>
            <a:ln w="28575">
              <a:noFill/>
            </a:ln>
          </c:spPr>
          <c:xVal>
            <c:numRef>
              <c:f>NPV!$E$34:$E$37</c:f>
              <c:numCache>
                <c:formatCode>General</c:formatCode>
                <c:ptCount val="4"/>
                <c:pt idx="0">
                  <c:v>930</c:v>
                </c:pt>
                <c:pt idx="1">
                  <c:v>950</c:v>
                </c:pt>
                <c:pt idx="2">
                  <c:v>970</c:v>
                </c:pt>
                <c:pt idx="3">
                  <c:v>990</c:v>
                </c:pt>
              </c:numCache>
            </c:numRef>
          </c:xVal>
          <c:yVal>
            <c:numRef>
              <c:f>NPV!$F$34:$F$37</c:f>
              <c:numCache>
                <c:formatCode>General</c:formatCode>
                <c:ptCount val="4"/>
                <c:pt idx="0" formatCode="0">
                  <c:v>339686231.57596999</c:v>
                </c:pt>
                <c:pt idx="1">
                  <c:v>417284118.46957999</c:v>
                </c:pt>
                <c:pt idx="2">
                  <c:v>356813019.59311301</c:v>
                </c:pt>
                <c:pt idx="3" formatCode="0">
                  <c:v>249974638.75203899</c:v>
                </c:pt>
              </c:numCache>
            </c:numRef>
          </c:yVal>
          <c:smooth val="0"/>
        </c:ser>
        <c:ser>
          <c:idx val="1"/>
          <c:order val="1"/>
          <c:tx>
            <c:v>3 seconds</c:v>
          </c:tx>
          <c:spPr>
            <a:ln w="28575">
              <a:noFill/>
            </a:ln>
          </c:spPr>
          <c:xVal>
            <c:numRef>
              <c:f>NPV!$E$34:$E$37</c:f>
              <c:numCache>
                <c:formatCode>General</c:formatCode>
                <c:ptCount val="4"/>
                <c:pt idx="0">
                  <c:v>930</c:v>
                </c:pt>
                <c:pt idx="1">
                  <c:v>950</c:v>
                </c:pt>
                <c:pt idx="2">
                  <c:v>970</c:v>
                </c:pt>
                <c:pt idx="3">
                  <c:v>990</c:v>
                </c:pt>
              </c:numCache>
            </c:numRef>
          </c:xVal>
          <c:yVal>
            <c:numRef>
              <c:f>NPV!$G$34:$G$37</c:f>
              <c:numCache>
                <c:formatCode>General</c:formatCode>
                <c:ptCount val="4"/>
                <c:pt idx="0">
                  <c:v>373823401.179241</c:v>
                </c:pt>
                <c:pt idx="1">
                  <c:v>410284118.46957999</c:v>
                </c:pt>
                <c:pt idx="2">
                  <c:v>361209526.27974999</c:v>
                </c:pt>
                <c:pt idx="3">
                  <c:v>267187437.43516001</c:v>
                </c:pt>
              </c:numCache>
            </c:numRef>
          </c:yVal>
          <c:smooth val="0"/>
        </c:ser>
        <c:ser>
          <c:idx val="2"/>
          <c:order val="2"/>
          <c:tx>
            <c:v>4 seconds</c:v>
          </c:tx>
          <c:spPr>
            <a:ln w="28575">
              <a:noFill/>
            </a:ln>
          </c:spPr>
          <c:xVal>
            <c:numRef>
              <c:f>NPV!$E$34:$E$37</c:f>
              <c:numCache>
                <c:formatCode>General</c:formatCode>
                <c:ptCount val="4"/>
                <c:pt idx="0">
                  <c:v>930</c:v>
                </c:pt>
                <c:pt idx="1">
                  <c:v>950</c:v>
                </c:pt>
                <c:pt idx="2">
                  <c:v>970</c:v>
                </c:pt>
                <c:pt idx="3">
                  <c:v>990</c:v>
                </c:pt>
              </c:numCache>
            </c:numRef>
          </c:xVal>
          <c:yVal>
            <c:numRef>
              <c:f>NPV!$H$34:$H$37</c:f>
              <c:numCache>
                <c:formatCode>General</c:formatCode>
                <c:ptCount val="4"/>
                <c:pt idx="0">
                  <c:v>342193269.478118</c:v>
                </c:pt>
                <c:pt idx="1">
                  <c:v>379572950.33334702</c:v>
                </c:pt>
                <c:pt idx="2">
                  <c:v>300972930.496387</c:v>
                </c:pt>
                <c:pt idx="3">
                  <c:v>191456544.66917101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44064"/>
        <c:axId val="170750336"/>
      </c:scatterChart>
      <c:valAx>
        <c:axId val="17074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Reactor</a:t>
                </a:r>
                <a:r>
                  <a:rPr lang="en-US" baseline="0"/>
                  <a:t> Temperature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0750336"/>
        <c:crosses val="autoZero"/>
        <c:crossBetween val="midCat"/>
      </c:valAx>
      <c:valAx>
        <c:axId val="170750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Net Present Value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70744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% Recycle</a:t>
            </a:r>
            <a:r>
              <a:rPr lang="en-US" baseline="0"/>
              <a:t> and Residence Time vs NPV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 seconds</c:v>
          </c:tx>
          <c:spPr>
            <a:ln w="28575">
              <a:noFill/>
            </a:ln>
          </c:spPr>
          <c:xVal>
            <c:numRef>
              <c:f>NPV!$F$57:$J$57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NPV!$F$58:$J$58</c:f>
              <c:numCache>
                <c:formatCode>0</c:formatCode>
                <c:ptCount val="5"/>
                <c:pt idx="0" formatCode="General">
                  <c:v>64783540.057444103</c:v>
                </c:pt>
                <c:pt idx="1">
                  <c:v>212368743.46065331</c:v>
                </c:pt>
                <c:pt idx="2" formatCode="General">
                  <c:v>277073597.26852417</c:v>
                </c:pt>
                <c:pt idx="3" formatCode="General">
                  <c:v>333786450.05918884</c:v>
                </c:pt>
                <c:pt idx="4" formatCode="General">
                  <c:v>417294537.49673843</c:v>
                </c:pt>
              </c:numCache>
            </c:numRef>
          </c:yVal>
          <c:smooth val="0"/>
        </c:ser>
        <c:ser>
          <c:idx val="1"/>
          <c:order val="1"/>
          <c:tx>
            <c:v>3 seconds</c:v>
          </c:tx>
          <c:spPr>
            <a:ln w="28575">
              <a:noFill/>
            </a:ln>
          </c:spPr>
          <c:xVal>
            <c:numRef>
              <c:f>NPV!$F$57:$J$57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NPV!$F$59:$J$59</c:f>
              <c:numCache>
                <c:formatCode>General</c:formatCode>
                <c:ptCount val="5"/>
                <c:pt idx="0">
                  <c:v>123525588.24064493</c:v>
                </c:pt>
                <c:pt idx="1">
                  <c:v>274252605.96922874</c:v>
                </c:pt>
                <c:pt idx="2">
                  <c:v>311762092.81945896</c:v>
                </c:pt>
                <c:pt idx="3">
                  <c:v>346871877.11983585</c:v>
                </c:pt>
                <c:pt idx="4">
                  <c:v>385769778.23211575</c:v>
                </c:pt>
              </c:numCache>
            </c:numRef>
          </c:yVal>
          <c:smooth val="0"/>
        </c:ser>
        <c:ser>
          <c:idx val="2"/>
          <c:order val="2"/>
          <c:tx>
            <c:v>4 seconds</c:v>
          </c:tx>
          <c:spPr>
            <a:ln w="28575">
              <a:noFill/>
            </a:ln>
          </c:spPr>
          <c:xVal>
            <c:numRef>
              <c:f>NPV!$F$57:$J$57</c:f>
              <c:numCache>
                <c:formatCode>General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NPV!$F$60:$J$60</c:f>
              <c:numCache>
                <c:formatCode>General</c:formatCode>
                <c:ptCount val="5"/>
                <c:pt idx="0">
                  <c:v>175931293.27983952</c:v>
                </c:pt>
                <c:pt idx="1">
                  <c:v>241258217.88341045</c:v>
                </c:pt>
                <c:pt idx="2">
                  <c:v>266130729.3132906</c:v>
                </c:pt>
                <c:pt idx="3">
                  <c:v>335071877.11983597</c:v>
                </c:pt>
                <c:pt idx="4">
                  <c:v>317362738.23954487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76832"/>
        <c:axId val="171639168"/>
      </c:scatterChart>
      <c:valAx>
        <c:axId val="170776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Recycle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1639168"/>
        <c:crosses val="autoZero"/>
        <c:crossBetween val="midCat"/>
      </c:valAx>
      <c:valAx>
        <c:axId val="171639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Net Present Value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0776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</a:t>
            </a:r>
            <a:r>
              <a:rPr lang="en-US" baseline="0"/>
              <a:t> Tower Optimization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50 Trays</c:v>
          </c:tx>
          <c:spPr>
            <a:ln w="28575">
              <a:noFill/>
            </a:ln>
          </c:spPr>
          <c:xVal>
            <c:numRef>
              <c:f>'Tower 1 Opt'!$B$2:$B$9</c:f>
              <c:numCache>
                <c:formatCode>General</c:formatCode>
                <c:ptCount val="8"/>
                <c:pt idx="0">
                  <c:v>32</c:v>
                </c:pt>
                <c:pt idx="1">
                  <c:v>34</c:v>
                </c:pt>
                <c:pt idx="2">
                  <c:v>36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44</c:v>
                </c:pt>
                <c:pt idx="7">
                  <c:v>46</c:v>
                </c:pt>
              </c:numCache>
            </c:numRef>
          </c:xVal>
          <c:yVal>
            <c:numRef>
              <c:f>'Tower 1 Opt'!$D$2:$D$9</c:f>
              <c:numCache>
                <c:formatCode>_("$"* #,##0.00_);_("$"* \(#,##0.00\);_("$"* "-"??_);_(@_)</c:formatCode>
                <c:ptCount val="8"/>
                <c:pt idx="0">
                  <c:v>-93759351.01214388</c:v>
                </c:pt>
                <c:pt idx="1">
                  <c:v>-93291176.849165037</c:v>
                </c:pt>
                <c:pt idx="2">
                  <c:v>-93581342.17031993</c:v>
                </c:pt>
                <c:pt idx="3">
                  <c:v>-93593131.539880022</c:v>
                </c:pt>
                <c:pt idx="4">
                  <c:v>-93584149.852670804</c:v>
                </c:pt>
                <c:pt idx="5">
                  <c:v>-93560117.274467796</c:v>
                </c:pt>
                <c:pt idx="6">
                  <c:v>-93487033.038090721</c:v>
                </c:pt>
                <c:pt idx="7">
                  <c:v>-93193976.292197406</c:v>
                </c:pt>
              </c:numCache>
            </c:numRef>
          </c:yVal>
          <c:smooth val="0"/>
        </c:ser>
        <c:ser>
          <c:idx val="1"/>
          <c:order val="1"/>
          <c:tx>
            <c:v>51 Trays</c:v>
          </c:tx>
          <c:spPr>
            <a:ln w="28575">
              <a:noFill/>
            </a:ln>
          </c:spPr>
          <c:xVal>
            <c:numRef>
              <c:f>'Tower 1 Opt'!$B$10:$B$18</c:f>
              <c:numCache>
                <c:formatCode>General</c:formatCode>
                <c:ptCount val="9"/>
                <c:pt idx="0">
                  <c:v>31</c:v>
                </c:pt>
                <c:pt idx="1">
                  <c:v>33</c:v>
                </c:pt>
                <c:pt idx="2">
                  <c:v>35</c:v>
                </c:pt>
                <c:pt idx="3">
                  <c:v>37</c:v>
                </c:pt>
                <c:pt idx="4">
                  <c:v>39</c:v>
                </c:pt>
                <c:pt idx="5">
                  <c:v>41</c:v>
                </c:pt>
                <c:pt idx="6">
                  <c:v>43</c:v>
                </c:pt>
                <c:pt idx="7">
                  <c:v>45</c:v>
                </c:pt>
                <c:pt idx="8">
                  <c:v>47</c:v>
                </c:pt>
              </c:numCache>
            </c:numRef>
          </c:xVal>
          <c:yVal>
            <c:numRef>
              <c:f>'Tower 1 Opt'!$D$10:$D$18</c:f>
              <c:numCache>
                <c:formatCode>_("$"* #,##0.00_);_("$"* \(#,##0.00\);_("$"* "-"??_);_(@_)</c:formatCode>
                <c:ptCount val="9"/>
                <c:pt idx="0">
                  <c:v>-92586531.19941777</c:v>
                </c:pt>
                <c:pt idx="1">
                  <c:v>-94645721.886885107</c:v>
                </c:pt>
                <c:pt idx="2">
                  <c:v>-95511632.417247012</c:v>
                </c:pt>
                <c:pt idx="3">
                  <c:v>-95577923.947001457</c:v>
                </c:pt>
                <c:pt idx="4">
                  <c:v>-95585379.767763138</c:v>
                </c:pt>
                <c:pt idx="5">
                  <c:v>-95585089.234137416</c:v>
                </c:pt>
                <c:pt idx="6">
                  <c:v>-95576551.213963076</c:v>
                </c:pt>
                <c:pt idx="7">
                  <c:v>-95539460.416628629</c:v>
                </c:pt>
                <c:pt idx="8">
                  <c:v>-95378863.040405348</c:v>
                </c:pt>
              </c:numCache>
            </c:numRef>
          </c:yVal>
          <c:smooth val="0"/>
        </c:ser>
        <c:ser>
          <c:idx val="2"/>
          <c:order val="2"/>
          <c:tx>
            <c:v>52 Trays</c:v>
          </c:tx>
          <c:spPr>
            <a:ln w="28575">
              <a:noFill/>
            </a:ln>
          </c:spPr>
          <c:xVal>
            <c:numRef>
              <c:f>'Tower 1 Opt'!$B$19:$B$26</c:f>
              <c:numCache>
                <c:formatCode>General</c:formatCode>
                <c:ptCount val="8"/>
                <c:pt idx="0">
                  <c:v>32</c:v>
                </c:pt>
                <c:pt idx="1">
                  <c:v>34</c:v>
                </c:pt>
                <c:pt idx="2">
                  <c:v>36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44</c:v>
                </c:pt>
                <c:pt idx="7">
                  <c:v>46</c:v>
                </c:pt>
              </c:numCache>
            </c:numRef>
          </c:xVal>
          <c:yVal>
            <c:numRef>
              <c:f>'Tower 1 Opt'!$D$19:$D$26</c:f>
              <c:numCache>
                <c:formatCode>_("$"* #,##0.00_);_("$"* \(#,##0.00\);_("$"* "-"??_);_(@_)</c:formatCode>
                <c:ptCount val="8"/>
                <c:pt idx="0">
                  <c:v>-98121092.126913756</c:v>
                </c:pt>
                <c:pt idx="1">
                  <c:v>-97144528.877680734</c:v>
                </c:pt>
                <c:pt idx="2">
                  <c:v>-97306654.629901618</c:v>
                </c:pt>
                <c:pt idx="3">
                  <c:v>-97315019.518764734</c:v>
                </c:pt>
                <c:pt idx="4">
                  <c:v>-97315988.650189221</c:v>
                </c:pt>
                <c:pt idx="5">
                  <c:v>-97315754.093450695</c:v>
                </c:pt>
                <c:pt idx="6">
                  <c:v>-97312763.199900582</c:v>
                </c:pt>
                <c:pt idx="7">
                  <c:v>-97293471.580273852</c:v>
                </c:pt>
              </c:numCache>
            </c:numRef>
          </c:yVal>
          <c:smooth val="0"/>
        </c:ser>
        <c:ser>
          <c:idx val="3"/>
          <c:order val="3"/>
          <c:tx>
            <c:v>53 Trays</c:v>
          </c:tx>
          <c:spPr>
            <a:ln w="28575">
              <a:noFill/>
            </a:ln>
          </c:spPr>
          <c:xVal>
            <c:numRef>
              <c:f>'Tower 1 Opt'!$B$27:$B$34</c:f>
              <c:numCache>
                <c:formatCode>General</c:formatCode>
                <c:ptCount val="8"/>
                <c:pt idx="0">
                  <c:v>31</c:v>
                </c:pt>
                <c:pt idx="1">
                  <c:v>33</c:v>
                </c:pt>
                <c:pt idx="2">
                  <c:v>35</c:v>
                </c:pt>
                <c:pt idx="3">
                  <c:v>37</c:v>
                </c:pt>
                <c:pt idx="4">
                  <c:v>39</c:v>
                </c:pt>
                <c:pt idx="5">
                  <c:v>41</c:v>
                </c:pt>
                <c:pt idx="6">
                  <c:v>43</c:v>
                </c:pt>
                <c:pt idx="7">
                  <c:v>45</c:v>
                </c:pt>
              </c:numCache>
            </c:numRef>
          </c:xVal>
          <c:yVal>
            <c:numRef>
              <c:f>'Tower 1 Opt'!$D$27:$D$34</c:f>
              <c:numCache>
                <c:formatCode>_("$"* #,##0.00_);_("$"* \(#,##0.00\);_("$"* "-"??_);_(@_)</c:formatCode>
                <c:ptCount val="8"/>
                <c:pt idx="0">
                  <c:v>-95537462.149140567</c:v>
                </c:pt>
                <c:pt idx="1">
                  <c:v>-98320900.978284568</c:v>
                </c:pt>
                <c:pt idx="2">
                  <c:v>-98814456.263853341</c:v>
                </c:pt>
                <c:pt idx="3">
                  <c:v>-98826598.236888975</c:v>
                </c:pt>
                <c:pt idx="4">
                  <c:v>-98821297.974052906</c:v>
                </c:pt>
                <c:pt idx="5">
                  <c:v>-98820239.46371901</c:v>
                </c:pt>
                <c:pt idx="6">
                  <c:v>-98818335.957245454</c:v>
                </c:pt>
                <c:pt idx="7">
                  <c:v>-98814657.954142183</c:v>
                </c:pt>
              </c:numCache>
            </c:numRef>
          </c:yVal>
          <c:smooth val="0"/>
        </c:ser>
        <c:ser>
          <c:idx val="4"/>
          <c:order val="4"/>
          <c:tx>
            <c:v>54 Trays</c:v>
          </c:tx>
          <c:spPr>
            <a:ln w="28575">
              <a:noFill/>
            </a:ln>
          </c:spPr>
          <c:xVal>
            <c:numRef>
              <c:f>'Tower 1 Opt'!$B$35:$B$42</c:f>
              <c:numCache>
                <c:formatCode>General</c:formatCode>
                <c:ptCount val="8"/>
                <c:pt idx="0">
                  <c:v>32</c:v>
                </c:pt>
                <c:pt idx="1">
                  <c:v>34</c:v>
                </c:pt>
                <c:pt idx="2">
                  <c:v>36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44</c:v>
                </c:pt>
                <c:pt idx="7">
                  <c:v>46</c:v>
                </c:pt>
              </c:numCache>
            </c:numRef>
          </c:xVal>
          <c:yVal>
            <c:numRef>
              <c:f>'Tower 1 Opt'!$D$35:$D$42</c:f>
              <c:numCache>
                <c:formatCode>_("$"* #,##0.00_);_("$"* \(#,##0.00\);_("$"* "-"??_);_(@_)</c:formatCode>
                <c:ptCount val="8"/>
                <c:pt idx="0">
                  <c:v>-101874389.89982706</c:v>
                </c:pt>
                <c:pt idx="1">
                  <c:v>-100107562.89526087</c:v>
                </c:pt>
                <c:pt idx="2">
                  <c:v>-100185979.17840278</c:v>
                </c:pt>
                <c:pt idx="3">
                  <c:v>-100190581.26221618</c:v>
                </c:pt>
                <c:pt idx="4">
                  <c:v>-100200293.22665307</c:v>
                </c:pt>
                <c:pt idx="5">
                  <c:v>-100200172.42101631</c:v>
                </c:pt>
                <c:pt idx="6">
                  <c:v>-100188106.68696354</c:v>
                </c:pt>
                <c:pt idx="7">
                  <c:v>-100181604.07612728</c:v>
                </c:pt>
              </c:numCache>
            </c:numRef>
          </c:yVal>
          <c:smooth val="0"/>
        </c:ser>
        <c:ser>
          <c:idx val="5"/>
          <c:order val="5"/>
          <c:tx>
            <c:v>55 Trays</c:v>
          </c:tx>
          <c:spPr>
            <a:ln w="28575">
              <a:noFill/>
            </a:ln>
          </c:spPr>
          <c:xVal>
            <c:numRef>
              <c:f>'Tower 1 Opt'!$B$43:$B$51</c:f>
              <c:numCache>
                <c:formatCode>General</c:formatCode>
                <c:ptCount val="9"/>
                <c:pt idx="0">
                  <c:v>31</c:v>
                </c:pt>
                <c:pt idx="1">
                  <c:v>33</c:v>
                </c:pt>
                <c:pt idx="2">
                  <c:v>35</c:v>
                </c:pt>
                <c:pt idx="3">
                  <c:v>37</c:v>
                </c:pt>
                <c:pt idx="4">
                  <c:v>39</c:v>
                </c:pt>
                <c:pt idx="5">
                  <c:v>41</c:v>
                </c:pt>
                <c:pt idx="6">
                  <c:v>43</c:v>
                </c:pt>
                <c:pt idx="7">
                  <c:v>45</c:v>
                </c:pt>
                <c:pt idx="8">
                  <c:v>47</c:v>
                </c:pt>
              </c:numCache>
            </c:numRef>
          </c:xVal>
          <c:yVal>
            <c:numRef>
              <c:f>'Tower 1 Opt'!$D$43:$D$51</c:f>
              <c:numCache>
                <c:formatCode>_("$"* #,##0.00_);_("$"* \(#,##0.00\);_("$"* "-"??_);_(@_)</c:formatCode>
                <c:ptCount val="9"/>
                <c:pt idx="0">
                  <c:v>-98284381.655457035</c:v>
                </c:pt>
                <c:pt idx="1">
                  <c:v>-101229617.65091573</c:v>
                </c:pt>
                <c:pt idx="2">
                  <c:v>-101469472.23076078</c:v>
                </c:pt>
                <c:pt idx="3">
                  <c:v>-101483732.63008286</c:v>
                </c:pt>
                <c:pt idx="4">
                  <c:v>-101488880.60536377</c:v>
                </c:pt>
                <c:pt idx="5">
                  <c:v>-101503124.29251519</c:v>
                </c:pt>
                <c:pt idx="6">
                  <c:v>-101489297.71720192</c:v>
                </c:pt>
                <c:pt idx="7">
                  <c:v>-101482258.52390824</c:v>
                </c:pt>
                <c:pt idx="8">
                  <c:v>-101462029.7979767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84992"/>
        <c:axId val="171686912"/>
      </c:scatterChart>
      <c:valAx>
        <c:axId val="171684992"/>
        <c:scaling>
          <c:orientation val="minMax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Feed</a:t>
                </a:r>
                <a:r>
                  <a:rPr lang="en-US" baseline="0"/>
                  <a:t> Tray Location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686912"/>
        <c:crossesAt val="-104000000"/>
        <c:crossBetween val="midCat"/>
      </c:valAx>
      <c:valAx>
        <c:axId val="17168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Main Tower Cost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71684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LCO</a:t>
            </a:r>
            <a:r>
              <a:rPr lang="en-US" baseline="0"/>
              <a:t> Tower Optimization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18 Trays</c:v>
          </c:tx>
          <c:spPr>
            <a:ln w="28575">
              <a:noFill/>
            </a:ln>
          </c:spPr>
          <c:xVal>
            <c:numRef>
              <c:f>'LCO T Opt'!$B$2:$B$7</c:f>
              <c:numCache>
                <c:formatCode>General</c:formatCode>
                <c:ptCount val="6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</c:numCache>
            </c:numRef>
          </c:xVal>
          <c:yVal>
            <c:numRef>
              <c:f>'LCO T Opt'!$D$2:$D$7</c:f>
              <c:numCache>
                <c:formatCode>_("$"* #,##0.00_);_("$"* \(#,##0.00\);_("$"* "-"??_);_(@_)</c:formatCode>
                <c:ptCount val="6"/>
                <c:pt idx="0">
                  <c:v>-33305793.591248427</c:v>
                </c:pt>
                <c:pt idx="1">
                  <c:v>-33321496.294351518</c:v>
                </c:pt>
                <c:pt idx="2">
                  <c:v>-33323449.426271711</c:v>
                </c:pt>
                <c:pt idx="3">
                  <c:v>-33326297.583339579</c:v>
                </c:pt>
                <c:pt idx="4">
                  <c:v>-33317576.273690253</c:v>
                </c:pt>
                <c:pt idx="5">
                  <c:v>-33217610.678951457</c:v>
                </c:pt>
              </c:numCache>
            </c:numRef>
          </c:yVal>
          <c:smooth val="0"/>
        </c:ser>
        <c:ser>
          <c:idx val="1"/>
          <c:order val="1"/>
          <c:tx>
            <c:v>19 Trays</c:v>
          </c:tx>
          <c:spPr>
            <a:ln w="28575">
              <a:noFill/>
            </a:ln>
          </c:spPr>
          <c:xVal>
            <c:numRef>
              <c:f>'LCO T Opt'!$B$8:$B$13</c:f>
              <c:numCache>
                <c:formatCode>General</c:formatCode>
                <c:ptCount val="6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</c:numCache>
            </c:numRef>
          </c:xVal>
          <c:yVal>
            <c:numRef>
              <c:f>'LCO T Opt'!$D$8:$D$13</c:f>
              <c:numCache>
                <c:formatCode>_("$"* #,##0.00_);_("$"* \(#,##0.00\);_("$"* "-"??_);_(@_)</c:formatCode>
                <c:ptCount val="6"/>
                <c:pt idx="0">
                  <c:v>-33371638.845168587</c:v>
                </c:pt>
                <c:pt idx="1">
                  <c:v>-33382617.45821045</c:v>
                </c:pt>
                <c:pt idx="2">
                  <c:v>-33382141.973402284</c:v>
                </c:pt>
                <c:pt idx="3">
                  <c:v>-33386101.672577977</c:v>
                </c:pt>
                <c:pt idx="4">
                  <c:v>-33384995.239848021</c:v>
                </c:pt>
                <c:pt idx="5">
                  <c:v>-33356159.41055781</c:v>
                </c:pt>
              </c:numCache>
            </c:numRef>
          </c:yVal>
          <c:smooth val="0"/>
        </c:ser>
        <c:ser>
          <c:idx val="2"/>
          <c:order val="2"/>
          <c:tx>
            <c:v>20 Trays</c:v>
          </c:tx>
          <c:spPr>
            <a:ln w="28575">
              <a:noFill/>
            </a:ln>
          </c:spPr>
          <c:xVal>
            <c:numRef>
              <c:f>'LCO T Opt'!$B$14:$B$20</c:f>
              <c:numCache>
                <c:formatCode>General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'LCO T Opt'!$D$14:$D$20</c:f>
              <c:numCache>
                <c:formatCode>_("$"* #,##0.00_);_("$"* \(#,##0.00\);_("$"* "-"??_);_(@_)</c:formatCode>
                <c:ptCount val="7"/>
                <c:pt idx="0">
                  <c:v>-33431443.478860069</c:v>
                </c:pt>
                <c:pt idx="1">
                  <c:v>-33438591.973278612</c:v>
                </c:pt>
                <c:pt idx="2">
                  <c:v>-33442744.150937378</c:v>
                </c:pt>
                <c:pt idx="3">
                  <c:v>-33444057.005117368</c:v>
                </c:pt>
                <c:pt idx="4">
                  <c:v>-33444761.683714163</c:v>
                </c:pt>
                <c:pt idx="5">
                  <c:v>-33435858.435540248</c:v>
                </c:pt>
                <c:pt idx="6">
                  <c:v>-33343438.546254288</c:v>
                </c:pt>
              </c:numCache>
            </c:numRef>
          </c:yVal>
          <c:smooth val="0"/>
        </c:ser>
        <c:ser>
          <c:idx val="3"/>
          <c:order val="3"/>
          <c:tx>
            <c:v>21 Trays</c:v>
          </c:tx>
          <c:spPr>
            <a:ln w="28575">
              <a:noFill/>
            </a:ln>
          </c:spPr>
          <c:xVal>
            <c:numRef>
              <c:f>'LCO T Opt'!$B$21:$B$27</c:f>
              <c:numCache>
                <c:formatCode>General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'LCO T Opt'!$D$21:$D$27</c:f>
              <c:numCache>
                <c:formatCode>_("$"* #,##0.00_);_("$"* \(#,##0.00\);_("$"* "-"??_);_(@_)</c:formatCode>
                <c:ptCount val="7"/>
                <c:pt idx="0">
                  <c:v>-33489778.574653976</c:v>
                </c:pt>
                <c:pt idx="1">
                  <c:v>-33499550.712185193</c:v>
                </c:pt>
                <c:pt idx="2">
                  <c:v>-33501598.861223772</c:v>
                </c:pt>
                <c:pt idx="3">
                  <c:v>-33502807.949886546</c:v>
                </c:pt>
                <c:pt idx="4">
                  <c:v>-33505020.88809612</c:v>
                </c:pt>
                <c:pt idx="5">
                  <c:v>-33503308.894691523</c:v>
                </c:pt>
                <c:pt idx="6">
                  <c:v>-33476829.45200314</c:v>
                </c:pt>
              </c:numCache>
            </c:numRef>
          </c:yVal>
          <c:smooth val="0"/>
        </c:ser>
        <c:ser>
          <c:idx val="4"/>
          <c:order val="4"/>
          <c:tx>
            <c:v>22 Trays</c:v>
          </c:tx>
          <c:spPr>
            <a:ln w="28575">
              <a:noFill/>
            </a:ln>
          </c:spPr>
          <c:xVal>
            <c:numRef>
              <c:f>'LCO T Opt'!$B$28:$B$35</c:f>
              <c:numCache>
                <c:formatCode>General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'LCO T Opt'!$D$28:$D$35</c:f>
              <c:numCache>
                <c:formatCode>_("$"* #,##0.00_);_("$"* \(#,##0.00\);_("$"* "-"??_);_(@_)</c:formatCode>
                <c:ptCount val="8"/>
                <c:pt idx="0">
                  <c:v>-33579128.085440725</c:v>
                </c:pt>
                <c:pt idx="1">
                  <c:v>-33587046.682032578</c:v>
                </c:pt>
                <c:pt idx="2">
                  <c:v>-33589919.931914382</c:v>
                </c:pt>
                <c:pt idx="3">
                  <c:v>-33591915.048250951</c:v>
                </c:pt>
                <c:pt idx="4">
                  <c:v>-33595104.685951248</c:v>
                </c:pt>
                <c:pt idx="5">
                  <c:v>-33594903.758724183</c:v>
                </c:pt>
                <c:pt idx="6">
                  <c:v>-33585558.335686058</c:v>
                </c:pt>
                <c:pt idx="7">
                  <c:v>-33492279.808274027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22368"/>
        <c:axId val="171328640"/>
      </c:scatterChart>
      <c:valAx>
        <c:axId val="17132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Feed</a:t>
                </a:r>
                <a:r>
                  <a:rPr lang="en-US" baseline="0"/>
                  <a:t> Tray Location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328640"/>
        <c:crossesAt val="-33650000"/>
        <c:crossBetween val="midCat"/>
      </c:valAx>
      <c:valAx>
        <c:axId val="171328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LCO</a:t>
                </a:r>
                <a:r>
                  <a:rPr lang="en-US" baseline="0"/>
                  <a:t>  Tower Cost</a:t>
                </a:r>
                <a:endParaRPr lang="en-US"/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71322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Gasoline</a:t>
            </a:r>
            <a:r>
              <a:rPr lang="en-US" baseline="0"/>
              <a:t> Tower Optimization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 Trays</c:v>
          </c:tx>
          <c:spPr>
            <a:ln w="28575">
              <a:noFill/>
            </a:ln>
          </c:spPr>
          <c:xVal>
            <c:numRef>
              <c:f>'Gas T Opt'!$B$2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'Gas T Opt'!$D$2</c:f>
              <c:numCache>
                <c:formatCode>_("$"* #,##0.00_);_("$"* \(#,##0.00\);_("$"* "-"??_);_(@_)</c:formatCode>
                <c:ptCount val="1"/>
                <c:pt idx="0">
                  <c:v>-16773252.762649216</c:v>
                </c:pt>
              </c:numCache>
            </c:numRef>
          </c:yVal>
          <c:smooth val="0"/>
        </c:ser>
        <c:ser>
          <c:idx val="1"/>
          <c:order val="1"/>
          <c:tx>
            <c:v>4 Trays</c:v>
          </c:tx>
          <c:spPr>
            <a:ln w="28575">
              <a:noFill/>
            </a:ln>
          </c:spPr>
          <c:xVal>
            <c:numRef>
              <c:f>'Gas T Opt'!$B$3:$B$4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xVal>
          <c:yVal>
            <c:numRef>
              <c:f>'Gas T Opt'!$D$3:$D$4</c:f>
              <c:numCache>
                <c:formatCode>_("$"* #,##0.00_);_("$"* \(#,##0.00\);_("$"* "-"??_);_(@_)</c:formatCode>
                <c:ptCount val="2"/>
                <c:pt idx="0">
                  <c:v>-17619930.141408313</c:v>
                </c:pt>
                <c:pt idx="1">
                  <c:v>-18209301.738292363</c:v>
                </c:pt>
              </c:numCache>
            </c:numRef>
          </c:yVal>
          <c:smooth val="0"/>
        </c:ser>
        <c:ser>
          <c:idx val="2"/>
          <c:order val="2"/>
          <c:tx>
            <c:v>5 Trays</c:v>
          </c:tx>
          <c:spPr>
            <a:ln w="28575">
              <a:noFill/>
            </a:ln>
          </c:spPr>
          <c:xVal>
            <c:numRef>
              <c:f>'Gas T Opt'!$B$5:$B$7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xVal>
          <c:yVal>
            <c:numRef>
              <c:f>'Gas T Opt'!$D$6:$D$8</c:f>
              <c:numCache>
                <c:formatCode>_("$"* #,##0.00_);_("$"* \(#,##0.00\);_("$"* "-"??_);_(@_)</c:formatCode>
                <c:ptCount val="3"/>
                <c:pt idx="0">
                  <c:v>-18783196.826097455</c:v>
                </c:pt>
                <c:pt idx="1">
                  <c:v>-18705206.795382749</c:v>
                </c:pt>
                <c:pt idx="2">
                  <c:v>-18878436.364554211</c:v>
                </c:pt>
              </c:numCache>
            </c:numRef>
          </c:yVal>
          <c:smooth val="0"/>
        </c:ser>
        <c:ser>
          <c:idx val="3"/>
          <c:order val="3"/>
          <c:tx>
            <c:v>6 Trays</c:v>
          </c:tx>
          <c:spPr>
            <a:ln w="28575">
              <a:noFill/>
            </a:ln>
          </c:spPr>
          <c:xVal>
            <c:numRef>
              <c:f>'Gas T Opt'!$B$8:$B$11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'Gas T Opt'!$D$8:$D$11</c:f>
              <c:numCache>
                <c:formatCode>_("$"* #,##0.00_);_("$"* \(#,##0.00\);_("$"* "-"??_);_(@_)</c:formatCode>
                <c:ptCount val="4"/>
                <c:pt idx="0">
                  <c:v>-18878436.364554211</c:v>
                </c:pt>
                <c:pt idx="1">
                  <c:v>-19342514.926722746</c:v>
                </c:pt>
                <c:pt idx="2">
                  <c:v>-19323517.269995693</c:v>
                </c:pt>
                <c:pt idx="3">
                  <c:v>-19110976.583965298</c:v>
                </c:pt>
              </c:numCache>
            </c:numRef>
          </c:yVal>
          <c:smooth val="0"/>
        </c:ser>
        <c:ser>
          <c:idx val="4"/>
          <c:order val="4"/>
          <c:tx>
            <c:v>7 Trays</c:v>
          </c:tx>
          <c:spPr>
            <a:ln w="28575">
              <a:noFill/>
            </a:ln>
          </c:spPr>
          <c:xVal>
            <c:numRef>
              <c:f>'Gas T Opt'!$B$12:$B$16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xVal>
          <c:yVal>
            <c:numRef>
              <c:f>'Gas T Opt'!$D$12:$D$16</c:f>
              <c:numCache>
                <c:formatCode>_("$"* #,##0.00_);_("$"* \(#,##0.00\);_("$"* "-"??_);_(@_)</c:formatCode>
                <c:ptCount val="5"/>
                <c:pt idx="0">
                  <c:v>-19298911.89704892</c:v>
                </c:pt>
                <c:pt idx="1">
                  <c:v>-19967515.851120304</c:v>
                </c:pt>
                <c:pt idx="2">
                  <c:v>-19936093.613633092</c:v>
                </c:pt>
                <c:pt idx="3">
                  <c:v>-19754108.348821368</c:v>
                </c:pt>
                <c:pt idx="4">
                  <c:v>-19460219.50351679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59712"/>
        <c:axId val="171461632"/>
      </c:scatterChart>
      <c:valAx>
        <c:axId val="171459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Feed</a:t>
                </a:r>
                <a:r>
                  <a:rPr lang="en-US" baseline="0"/>
                  <a:t> Tray Location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461632"/>
        <c:crossesAt val="-20500000"/>
        <c:crossBetween val="midCat"/>
      </c:valAx>
      <c:valAx>
        <c:axId val="171461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Gasoline</a:t>
                </a:r>
                <a:r>
                  <a:rPr lang="en-US" baseline="0"/>
                  <a:t> Tower Cost</a:t>
                </a:r>
                <a:endParaRPr lang="en-US"/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714597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LPG</a:t>
            </a:r>
            <a:r>
              <a:rPr lang="en-US" baseline="0"/>
              <a:t> and DG Tower Optimization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 Trays</c:v>
          </c:tx>
          <c:spPr>
            <a:ln w="28575">
              <a:noFill/>
            </a:ln>
          </c:spPr>
          <c:xVal>
            <c:numRef>
              <c:f>'LPGDG T Opt'!$B$2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'LPGDG T Opt'!$D$2</c:f>
              <c:numCache>
                <c:formatCode>_("$"* #,##0.00_);_("$"* \(#,##0.00\);_("$"* "-"??_);_(@_)</c:formatCode>
                <c:ptCount val="1"/>
                <c:pt idx="0">
                  <c:v>-6280005.032360794</c:v>
                </c:pt>
              </c:numCache>
            </c:numRef>
          </c:yVal>
          <c:smooth val="0"/>
        </c:ser>
        <c:ser>
          <c:idx val="1"/>
          <c:order val="1"/>
          <c:tx>
            <c:v>4 Trays</c:v>
          </c:tx>
          <c:spPr>
            <a:ln w="28575">
              <a:noFill/>
            </a:ln>
          </c:spPr>
          <c:xVal>
            <c:numRef>
              <c:f>'LPGDG T Opt'!$B$3:$B$4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xVal>
          <c:yVal>
            <c:numRef>
              <c:f>'LPGDG T Opt'!$D$3:$D$4</c:f>
              <c:numCache>
                <c:formatCode>_("$"* #,##0.00_);_("$"* \(#,##0.00\);_("$"* "-"??_);_(@_)</c:formatCode>
                <c:ptCount val="2"/>
                <c:pt idx="0">
                  <c:v>-6422509.4023573752</c:v>
                </c:pt>
                <c:pt idx="1">
                  <c:v>-6912250.853529213</c:v>
                </c:pt>
              </c:numCache>
            </c:numRef>
          </c:yVal>
          <c:smooth val="0"/>
        </c:ser>
        <c:ser>
          <c:idx val="2"/>
          <c:order val="2"/>
          <c:tx>
            <c:v>5 Trays</c:v>
          </c:tx>
          <c:spPr>
            <a:ln w="28575">
              <a:noFill/>
            </a:ln>
          </c:spPr>
          <c:xVal>
            <c:numRef>
              <c:f>'LPGDG T Opt'!$B$5:$B$7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xVal>
          <c:yVal>
            <c:numRef>
              <c:f>'LPGDG T Opt'!$D$5:$D$7</c:f>
              <c:numCache>
                <c:formatCode>_("$"* #,##0.00_);_("$"* \(#,##0.00\);_("$"* "-"??_);_(@_)</c:formatCode>
                <c:ptCount val="3"/>
                <c:pt idx="0">
                  <c:v>-6556706.4457435422</c:v>
                </c:pt>
                <c:pt idx="1">
                  <c:v>-7159645.3955964195</c:v>
                </c:pt>
                <c:pt idx="2">
                  <c:v>-7176382.9702321133</c:v>
                </c:pt>
              </c:numCache>
            </c:numRef>
          </c:yVal>
          <c:smooth val="0"/>
        </c:ser>
        <c:ser>
          <c:idx val="3"/>
          <c:order val="3"/>
          <c:tx>
            <c:v>6 Trays</c:v>
          </c:tx>
          <c:spPr>
            <a:ln w="28575">
              <a:noFill/>
            </a:ln>
          </c:spPr>
          <c:xVal>
            <c:numRef>
              <c:f>'LPGDG T Opt'!$B$8:$B$11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'LPGDG T Opt'!$D$8:$D$11</c:f>
              <c:numCache>
                <c:formatCode>_("$"* #,##0.00_);_("$"* \(#,##0.00\);_("$"* "-"??_);_(@_)</c:formatCode>
                <c:ptCount val="4"/>
                <c:pt idx="0">
                  <c:v>-6597132.5202986831</c:v>
                </c:pt>
                <c:pt idx="1">
                  <c:v>-7158202.14492309</c:v>
                </c:pt>
                <c:pt idx="2">
                  <c:v>-7166527.5196156288</c:v>
                </c:pt>
                <c:pt idx="3">
                  <c:v>-7242280.5525961714</c:v>
                </c:pt>
              </c:numCache>
            </c:numRef>
          </c:yVal>
          <c:smooth val="0"/>
        </c:ser>
        <c:ser>
          <c:idx val="4"/>
          <c:order val="4"/>
          <c:tx>
            <c:v>7 Trays</c:v>
          </c:tx>
          <c:spPr>
            <a:ln w="28575">
              <a:noFill/>
            </a:ln>
          </c:spPr>
          <c:xVal>
            <c:numRef>
              <c:f>'LPGDG T Opt'!$B$12:$B$16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xVal>
          <c:yVal>
            <c:numRef>
              <c:f>'LPGDG T Opt'!$D$12:$D$16</c:f>
              <c:numCache>
                <c:formatCode>_("$"* #,##0.00_);_("$"* \(#,##0.00\);_("$"* "-"??_);_(@_)</c:formatCode>
                <c:ptCount val="5"/>
                <c:pt idx="0">
                  <c:v>-6742150.6016852735</c:v>
                </c:pt>
                <c:pt idx="1">
                  <c:v>-7414861.6785224322</c:v>
                </c:pt>
                <c:pt idx="2">
                  <c:v>-7422253.1685162727</c:v>
                </c:pt>
                <c:pt idx="3">
                  <c:v>-7504062.4909438826</c:v>
                </c:pt>
                <c:pt idx="4">
                  <c:v>-7514608.5964641189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41088"/>
        <c:axId val="177255552"/>
      </c:scatterChart>
      <c:valAx>
        <c:axId val="17724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Feed</a:t>
                </a:r>
                <a:r>
                  <a:rPr lang="en-US" baseline="0"/>
                  <a:t> Tray Location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255552"/>
        <c:crossesAt val="-7600000"/>
        <c:crossBetween val="midCat"/>
      </c:valAx>
      <c:valAx>
        <c:axId val="177255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LPG</a:t>
                </a:r>
                <a:r>
                  <a:rPr lang="en-US" baseline="0"/>
                  <a:t> and DG Tower Optimization</a:t>
                </a:r>
                <a:endParaRPr lang="en-US"/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77241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Recycle</a:t>
            </a:r>
            <a:r>
              <a:rPr lang="en-US" baseline="0"/>
              <a:t> vs Conversion Rates</a:t>
            </a:r>
          </a:p>
          <a:p>
            <a:pPr>
              <a:defRPr/>
            </a:pPr>
            <a:r>
              <a:rPr lang="en-US" baseline="0"/>
              <a:t>5000 feet cubed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HCO</c:v>
          </c:tx>
          <c:spPr>
            <a:ln w="28575">
              <a:noFill/>
            </a:ln>
          </c:spPr>
          <c:xVal>
            <c:numRef>
              <c:f>Component!$O$36:$O$46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Component!$P$36:$P$46</c:f>
              <c:numCache>
                <c:formatCode>General</c:formatCode>
                <c:ptCount val="11"/>
                <c:pt idx="0">
                  <c:v>7.9871997498629388E-2</c:v>
                </c:pt>
                <c:pt idx="1">
                  <c:v>8.2743214028962203E-2</c:v>
                </c:pt>
                <c:pt idx="2">
                  <c:v>8.5868839161162655E-2</c:v>
                </c:pt>
                <c:pt idx="3">
                  <c:v>8.9266873002628172E-2</c:v>
                </c:pt>
                <c:pt idx="4">
                  <c:v>9.2990188494187706E-2</c:v>
                </c:pt>
                <c:pt idx="5">
                  <c:v>9.7080766482220082E-2</c:v>
                </c:pt>
                <c:pt idx="6">
                  <c:v>0.10177522013263977</c:v>
                </c:pt>
                <c:pt idx="7">
                  <c:v>0.10711579410145008</c:v>
                </c:pt>
                <c:pt idx="8">
                  <c:v>0.11302671501664889</c:v>
                </c:pt>
                <c:pt idx="9">
                  <c:v>0.12094181165370377</c:v>
                </c:pt>
                <c:pt idx="10">
                  <c:v>0.13083772407141703</c:v>
                </c:pt>
              </c:numCache>
            </c:numRef>
          </c:yVal>
          <c:smooth val="0"/>
        </c:ser>
        <c:ser>
          <c:idx val="1"/>
          <c:order val="1"/>
          <c:tx>
            <c:v>LCO</c:v>
          </c:tx>
          <c:spPr>
            <a:ln w="28575">
              <a:noFill/>
            </a:ln>
          </c:spPr>
          <c:xVal>
            <c:numRef>
              <c:f>Component!$O$36:$O$46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Component!$Q$36:$Q$46</c:f>
              <c:numCache>
                <c:formatCode>General</c:formatCode>
                <c:ptCount val="11"/>
                <c:pt idx="0">
                  <c:v>0.18390583389279958</c:v>
                </c:pt>
                <c:pt idx="1">
                  <c:v>0.19055159197103344</c:v>
                </c:pt>
                <c:pt idx="2">
                  <c:v>0.19800680554410327</c:v>
                </c:pt>
                <c:pt idx="3">
                  <c:v>0.20645539840832733</c:v>
                </c:pt>
                <c:pt idx="4">
                  <c:v>0.2161235782746703</c:v>
                </c:pt>
                <c:pt idx="5">
                  <c:v>0.22648472930863411</c:v>
                </c:pt>
                <c:pt idx="6">
                  <c:v>0.23688419758798979</c:v>
                </c:pt>
                <c:pt idx="7">
                  <c:v>0.24715320386527648</c:v>
                </c:pt>
                <c:pt idx="8">
                  <c:v>0.25594972567326985</c:v>
                </c:pt>
                <c:pt idx="9">
                  <c:v>0.27018543086257168</c:v>
                </c:pt>
                <c:pt idx="10">
                  <c:v>0.28622595330683959</c:v>
                </c:pt>
              </c:numCache>
            </c:numRef>
          </c:yVal>
          <c:smooth val="0"/>
        </c:ser>
        <c:ser>
          <c:idx val="2"/>
          <c:order val="2"/>
          <c:tx>
            <c:v>Gasoline</c:v>
          </c:tx>
          <c:spPr>
            <a:ln w="28575">
              <a:noFill/>
            </a:ln>
          </c:spPr>
          <c:xVal>
            <c:numRef>
              <c:f>Component!$O$36:$O$46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Component!$R$36:$R$46</c:f>
              <c:numCache>
                <c:formatCode>General</c:formatCode>
                <c:ptCount val="11"/>
                <c:pt idx="0">
                  <c:v>0.44018266488629892</c:v>
                </c:pt>
                <c:pt idx="1">
                  <c:v>0.43878176988645956</c:v>
                </c:pt>
                <c:pt idx="2">
                  <c:v>0.43685945211124788</c:v>
                </c:pt>
                <c:pt idx="3">
                  <c:v>0.43427719274382909</c:v>
                </c:pt>
                <c:pt idx="4">
                  <c:v>0.43084753813008619</c:v>
                </c:pt>
                <c:pt idx="5">
                  <c:v>0.42678703617097224</c:v>
                </c:pt>
                <c:pt idx="6">
                  <c:v>0.4224976955839051</c:v>
                </c:pt>
                <c:pt idx="7">
                  <c:v>0.41794823373188555</c:v>
                </c:pt>
                <c:pt idx="8">
                  <c:v>0.41375357987813655</c:v>
                </c:pt>
                <c:pt idx="9">
                  <c:v>0.40608383668421466</c:v>
                </c:pt>
                <c:pt idx="10">
                  <c:v>0.39631385072253084</c:v>
                </c:pt>
              </c:numCache>
            </c:numRef>
          </c:yVal>
          <c:smooth val="0"/>
        </c:ser>
        <c:ser>
          <c:idx val="3"/>
          <c:order val="3"/>
          <c:tx>
            <c:v>LPG</c:v>
          </c:tx>
          <c:spPr>
            <a:ln w="28575">
              <a:noFill/>
            </a:ln>
          </c:spPr>
          <c:xVal>
            <c:numRef>
              <c:f>Component!$O$36:$O$46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Component!$S$36:$S$46</c:f>
              <c:numCache>
                <c:formatCode>General</c:formatCode>
                <c:ptCount val="11"/>
                <c:pt idx="0">
                  <c:v>0.18984263164903431</c:v>
                </c:pt>
                <c:pt idx="1">
                  <c:v>0.18429520555442924</c:v>
                </c:pt>
                <c:pt idx="2">
                  <c:v>0.17838939329045514</c:v>
                </c:pt>
                <c:pt idx="3">
                  <c:v>0.17208671794046396</c:v>
                </c:pt>
                <c:pt idx="4">
                  <c:v>0.16532891253293142</c:v>
                </c:pt>
                <c:pt idx="5">
                  <c:v>0.15829381885310403</c:v>
                </c:pt>
                <c:pt idx="6">
                  <c:v>0.15097533276319475</c:v>
                </c:pt>
                <c:pt idx="7">
                  <c:v>0.14348508518204348</c:v>
                </c:pt>
                <c:pt idx="8">
                  <c:v>0.13636274467525991</c:v>
                </c:pt>
                <c:pt idx="9">
                  <c:v>0.12659250491034352</c:v>
                </c:pt>
                <c:pt idx="10">
                  <c:v>0.11571334465710928</c:v>
                </c:pt>
              </c:numCache>
            </c:numRef>
          </c:yVal>
          <c:smooth val="0"/>
        </c:ser>
        <c:ser>
          <c:idx val="4"/>
          <c:order val="4"/>
          <c:tx>
            <c:v>Dry Gas</c:v>
          </c:tx>
          <c:spPr>
            <a:ln w="28575">
              <a:noFill/>
            </a:ln>
          </c:spPr>
          <c:xVal>
            <c:numRef>
              <c:f>Component!$O$36:$O$46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Component!$T$36:$T$46</c:f>
              <c:numCache>
                <c:formatCode>General</c:formatCode>
                <c:ptCount val="11"/>
                <c:pt idx="0">
                  <c:v>7.5240129222925098E-2</c:v>
                </c:pt>
                <c:pt idx="1">
                  <c:v>7.3303514038246712E-2</c:v>
                </c:pt>
                <c:pt idx="2">
                  <c:v>7.1222909690900463E-2</c:v>
                </c:pt>
                <c:pt idx="3">
                  <c:v>6.8979846404194065E-2</c:v>
                </c:pt>
                <c:pt idx="4">
                  <c:v>6.6547744499766734E-2</c:v>
                </c:pt>
                <c:pt idx="5">
                  <c:v>6.3993195548685489E-2</c:v>
                </c:pt>
                <c:pt idx="6">
                  <c:v>6.1337552246456317E-2</c:v>
                </c:pt>
                <c:pt idx="7">
                  <c:v>5.8611488669524828E-2</c:v>
                </c:pt>
                <c:pt idx="8">
                  <c:v>5.6005850153204376E-2</c:v>
                </c:pt>
                <c:pt idx="9">
                  <c:v>5.2425866829513335E-2</c:v>
                </c:pt>
                <c:pt idx="10">
                  <c:v>4.8415195358772277E-2</c:v>
                </c:pt>
              </c:numCache>
            </c:numRef>
          </c:yVal>
          <c:smooth val="0"/>
        </c:ser>
        <c:ser>
          <c:idx val="5"/>
          <c:order val="5"/>
          <c:tx>
            <c:v>Hydrogen</c:v>
          </c:tx>
          <c:spPr>
            <a:ln w="28575">
              <a:noFill/>
            </a:ln>
          </c:spPr>
          <c:xVal>
            <c:numRef>
              <c:f>Component!$O$36:$O$46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Component!$U$36:$U$46</c:f>
              <c:numCache>
                <c:formatCode>General</c:formatCode>
                <c:ptCount val="11"/>
                <c:pt idx="0">
                  <c:v>4.5498963551367363E-3</c:v>
                </c:pt>
                <c:pt idx="1">
                  <c:v>4.4531200943218182E-3</c:v>
                </c:pt>
                <c:pt idx="2">
                  <c:v>4.3498995113343273E-3</c:v>
                </c:pt>
                <c:pt idx="3">
                  <c:v>4.2393736504158551E-3</c:v>
                </c:pt>
                <c:pt idx="4">
                  <c:v>4.120464549829549E-3</c:v>
                </c:pt>
                <c:pt idx="5">
                  <c:v>3.9970747922534215E-3</c:v>
                </c:pt>
                <c:pt idx="6">
                  <c:v>3.8697500852440175E-3</c:v>
                </c:pt>
                <c:pt idx="7">
                  <c:v>3.7409059317304919E-3</c:v>
                </c:pt>
                <c:pt idx="8">
                  <c:v>3.6217774571000536E-3</c:v>
                </c:pt>
                <c:pt idx="9">
                  <c:v>3.4499483203982214E-3</c:v>
                </c:pt>
                <c:pt idx="10">
                  <c:v>3.2568760938090392E-3</c:v>
                </c:pt>
              </c:numCache>
            </c:numRef>
          </c:yVal>
          <c:smooth val="0"/>
        </c:ser>
        <c:ser>
          <c:idx val="6"/>
          <c:order val="6"/>
          <c:tx>
            <c:v>Coke</c:v>
          </c:tx>
          <c:spPr>
            <a:ln w="28575">
              <a:noFill/>
            </a:ln>
          </c:spPr>
          <c:xVal>
            <c:numRef>
              <c:f>Component!$O$36:$O$46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Component!$V$36:$V$46</c:f>
              <c:numCache>
                <c:formatCode>General</c:formatCode>
                <c:ptCount val="11"/>
                <c:pt idx="0">
                  <c:v>2.6406739057975991E-2</c:v>
                </c:pt>
                <c:pt idx="1">
                  <c:v>2.5871862410683129E-2</c:v>
                </c:pt>
                <c:pt idx="2">
                  <c:v>2.5302542595730681E-2</c:v>
                </c:pt>
                <c:pt idx="3">
                  <c:v>2.469425787528521E-2</c:v>
                </c:pt>
                <c:pt idx="4">
                  <c:v>2.4041294262645011E-2</c:v>
                </c:pt>
                <c:pt idx="5">
                  <c:v>2.3363437951768363E-2</c:v>
                </c:pt>
                <c:pt idx="6">
                  <c:v>2.2660122907991985E-2</c:v>
                </c:pt>
                <c:pt idx="7">
                  <c:v>2.1945171513881888E-2</c:v>
                </c:pt>
                <c:pt idx="8">
                  <c:v>2.1279951127517953E-2</c:v>
                </c:pt>
                <c:pt idx="9">
                  <c:v>2.0320705232360948E-2</c:v>
                </c:pt>
                <c:pt idx="10">
                  <c:v>1.9237230715666159E-2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30880"/>
        <c:axId val="171537152"/>
      </c:scatterChart>
      <c:valAx>
        <c:axId val="171530880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Recycle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537152"/>
        <c:crosses val="autoZero"/>
        <c:crossBetween val="midCat"/>
      </c:valAx>
      <c:valAx>
        <c:axId val="171537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Weight</a:t>
                </a:r>
                <a:r>
                  <a:rPr lang="en-US" baseline="0"/>
                  <a:t> Percentage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530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Recycle</a:t>
            </a:r>
            <a:r>
              <a:rPr lang="en-US" baseline="0"/>
              <a:t> vs Conversion Rates</a:t>
            </a:r>
          </a:p>
          <a:p>
            <a:pPr>
              <a:defRPr/>
            </a:pPr>
            <a:r>
              <a:rPr lang="en-US" baseline="0"/>
              <a:t>10000 feet cubed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HCO</c:v>
          </c:tx>
          <c:spPr>
            <a:ln w="28575">
              <a:noFill/>
            </a:ln>
          </c:spPr>
          <c:xVal>
            <c:numRef>
              <c:f>Component!$O$50:$O$60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Component!$P$50:$P$60</c:f>
              <c:numCache>
                <c:formatCode>General</c:formatCode>
                <c:ptCount val="11"/>
                <c:pt idx="0">
                  <c:v>4.7850616825629508E-2</c:v>
                </c:pt>
                <c:pt idx="1">
                  <c:v>4.9549811091164783E-2</c:v>
                </c:pt>
                <c:pt idx="2">
                  <c:v>5.1377424913461187E-2</c:v>
                </c:pt>
                <c:pt idx="3">
                  <c:v>5.3357180710359768E-2</c:v>
                </c:pt>
                <c:pt idx="4">
                  <c:v>5.5488965503440124E-2</c:v>
                </c:pt>
                <c:pt idx="5">
                  <c:v>5.7823620131127546E-2</c:v>
                </c:pt>
                <c:pt idx="6">
                  <c:v>6.0384152843991408E-2</c:v>
                </c:pt>
                <c:pt idx="7">
                  <c:v>6.3222851803177021E-2</c:v>
                </c:pt>
                <c:pt idx="8">
                  <c:v>6.6790174020268572E-2</c:v>
                </c:pt>
                <c:pt idx="9">
                  <c:v>7.1062110309847687E-2</c:v>
                </c:pt>
                <c:pt idx="10">
                  <c:v>7.6079331197779196E-2</c:v>
                </c:pt>
              </c:numCache>
            </c:numRef>
          </c:yVal>
          <c:smooth val="0"/>
        </c:ser>
        <c:ser>
          <c:idx val="1"/>
          <c:order val="1"/>
          <c:tx>
            <c:v>LCO</c:v>
          </c:tx>
          <c:spPr>
            <a:ln w="28575">
              <a:noFill/>
            </a:ln>
          </c:spPr>
          <c:xVal>
            <c:numRef>
              <c:f>Component!$O$50:$O$60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Component!$Q$50:$Q$60</c:f>
              <c:numCache>
                <c:formatCode>General</c:formatCode>
                <c:ptCount val="11"/>
                <c:pt idx="0">
                  <c:v>0.1494520627887912</c:v>
                </c:pt>
                <c:pt idx="1">
                  <c:v>0.15507402547192978</c:v>
                </c:pt>
                <c:pt idx="2">
                  <c:v>0.16139417899749089</c:v>
                </c:pt>
                <c:pt idx="3">
                  <c:v>0.16850334522226965</c:v>
                </c:pt>
                <c:pt idx="4">
                  <c:v>0.1766929751828602</c:v>
                </c:pt>
                <c:pt idx="5">
                  <c:v>0.18625165167300711</c:v>
                </c:pt>
                <c:pt idx="6">
                  <c:v>0.1976096836902658</c:v>
                </c:pt>
                <c:pt idx="7">
                  <c:v>0.21116954244526137</c:v>
                </c:pt>
                <c:pt idx="8">
                  <c:v>0.22688893848220781</c:v>
                </c:pt>
                <c:pt idx="9">
                  <c:v>0.24439532854461415</c:v>
                </c:pt>
                <c:pt idx="10">
                  <c:v>0.26178499761834784</c:v>
                </c:pt>
              </c:numCache>
            </c:numRef>
          </c:yVal>
          <c:smooth val="0"/>
        </c:ser>
        <c:ser>
          <c:idx val="2"/>
          <c:order val="2"/>
          <c:tx>
            <c:v>Gasoline</c:v>
          </c:tx>
          <c:spPr>
            <a:ln w="28575">
              <a:noFill/>
            </a:ln>
          </c:spPr>
          <c:xVal>
            <c:numRef>
              <c:f>Component!$O$50:$O$60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Component!$R$50:$R$60</c:f>
              <c:numCache>
                <c:formatCode>General</c:formatCode>
                <c:ptCount val="11"/>
                <c:pt idx="0">
                  <c:v>0.40841450483148151</c:v>
                </c:pt>
                <c:pt idx="1">
                  <c:v>0.40897854388276977</c:v>
                </c:pt>
                <c:pt idx="2">
                  <c:v>0.40924401320182074</c:v>
                </c:pt>
                <c:pt idx="3">
                  <c:v>0.4091648417443926</c:v>
                </c:pt>
                <c:pt idx="4">
                  <c:v>0.40857884487189566</c:v>
                </c:pt>
                <c:pt idx="5">
                  <c:v>0.40733785959692242</c:v>
                </c:pt>
                <c:pt idx="6">
                  <c:v>0.40519403374002561</c:v>
                </c:pt>
                <c:pt idx="7">
                  <c:v>0.40191840479925545</c:v>
                </c:pt>
                <c:pt idx="8">
                  <c:v>0.39790346739538296</c:v>
                </c:pt>
                <c:pt idx="9">
                  <c:v>0.39294854071363716</c:v>
                </c:pt>
                <c:pt idx="10">
                  <c:v>0.38770097565394085</c:v>
                </c:pt>
              </c:numCache>
            </c:numRef>
          </c:yVal>
          <c:smooth val="0"/>
        </c:ser>
        <c:ser>
          <c:idx val="3"/>
          <c:order val="3"/>
          <c:tx>
            <c:v>LPG</c:v>
          </c:tx>
          <c:spPr>
            <a:ln w="28575">
              <a:noFill/>
            </a:ln>
          </c:spPr>
          <c:xVal>
            <c:numRef>
              <c:f>Component!$O$50:$O$60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Component!$S$50:$S$60</c:f>
              <c:numCache>
                <c:formatCode>General</c:formatCode>
                <c:ptCount val="11"/>
                <c:pt idx="0">
                  <c:v>0.26060920434449891</c:v>
                </c:pt>
                <c:pt idx="1">
                  <c:v>0.25515114563821345</c:v>
                </c:pt>
                <c:pt idx="2">
                  <c:v>0.24934020445760305</c:v>
                </c:pt>
                <c:pt idx="3">
                  <c:v>0.2431296518386982</c:v>
                </c:pt>
                <c:pt idx="4">
                  <c:v>0.23643696884515303</c:v>
                </c:pt>
                <c:pt idx="5">
                  <c:v>0.22913389922473118</c:v>
                </c:pt>
                <c:pt idx="6">
                  <c:v>0.22108634697486362</c:v>
                </c:pt>
                <c:pt idx="7">
                  <c:v>0.21214466434550741</c:v>
                </c:pt>
                <c:pt idx="8">
                  <c:v>0.201719675239381</c:v>
                </c:pt>
                <c:pt idx="9">
                  <c:v>0.19023765601932163</c:v>
                </c:pt>
                <c:pt idx="10">
                  <c:v>0.1785178339750236</c:v>
                </c:pt>
              </c:numCache>
            </c:numRef>
          </c:yVal>
          <c:smooth val="0"/>
        </c:ser>
        <c:ser>
          <c:idx val="4"/>
          <c:order val="4"/>
          <c:tx>
            <c:v>Dry Gas</c:v>
          </c:tx>
          <c:spPr>
            <a:ln w="28575">
              <a:noFill/>
            </a:ln>
          </c:spPr>
          <c:xVal>
            <c:numRef>
              <c:f>Component!$O$50:$O$60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Component!$T$50:$T$60</c:f>
              <c:numCache>
                <c:formatCode>General</c:formatCode>
                <c:ptCount val="11"/>
                <c:pt idx="0">
                  <c:v>9.7608425570260629E-2</c:v>
                </c:pt>
                <c:pt idx="1">
                  <c:v>9.5805656245826057E-2</c:v>
                </c:pt>
                <c:pt idx="2">
                  <c:v>9.3863971973623159E-2</c:v>
                </c:pt>
                <c:pt idx="3">
                  <c:v>9.1765984921305582E-2</c:v>
                </c:pt>
                <c:pt idx="4">
                  <c:v>8.9475383995260893E-2</c:v>
                </c:pt>
                <c:pt idx="5">
                  <c:v>8.694271761763761E-2</c:v>
                </c:pt>
                <c:pt idx="6">
                  <c:v>8.4111281632751597E-2</c:v>
                </c:pt>
                <c:pt idx="7">
                  <c:v>8.092178802870359E-2</c:v>
                </c:pt>
                <c:pt idx="8">
                  <c:v>7.7231748794963209E-2</c:v>
                </c:pt>
                <c:pt idx="9">
                  <c:v>7.3156735528625075E-2</c:v>
                </c:pt>
                <c:pt idx="10">
                  <c:v>6.899249936687879E-2</c:v>
                </c:pt>
              </c:numCache>
            </c:numRef>
          </c:yVal>
          <c:smooth val="0"/>
        </c:ser>
        <c:ser>
          <c:idx val="5"/>
          <c:order val="5"/>
          <c:tx>
            <c:v>Hydrogen</c:v>
          </c:tx>
          <c:spPr>
            <a:ln w="28575">
              <a:noFill/>
            </a:ln>
          </c:spPr>
          <c:xVal>
            <c:numRef>
              <c:f>Component!$O$50:$O$60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Component!$U$50:$U$60</c:f>
              <c:numCache>
                <c:formatCode>General</c:formatCode>
                <c:ptCount val="11"/>
                <c:pt idx="0">
                  <c:v>5.3825061039486912E-3</c:v>
                </c:pt>
                <c:pt idx="1">
                  <c:v>5.2851200766895695E-3</c:v>
                </c:pt>
                <c:pt idx="2">
                  <c:v>5.1817787050320255E-3</c:v>
                </c:pt>
                <c:pt idx="3">
                  <c:v>5.071742309937453E-3</c:v>
                </c:pt>
                <c:pt idx="4">
                  <c:v>4.9532954418626662E-3</c:v>
                </c:pt>
                <c:pt idx="5">
                  <c:v>4.824302031736798E-3</c:v>
                </c:pt>
                <c:pt idx="6">
                  <c:v>4.6822985375198712E-3</c:v>
                </c:pt>
                <c:pt idx="7">
                  <c:v>4.5246418418590471E-3</c:v>
                </c:pt>
                <c:pt idx="8">
                  <c:v>4.3418258920688421E-3</c:v>
                </c:pt>
                <c:pt idx="9">
                  <c:v>4.1423472613426101E-3</c:v>
                </c:pt>
                <c:pt idx="10">
                  <c:v>3.9425878406160733E-3</c:v>
                </c:pt>
              </c:numCache>
            </c:numRef>
          </c:yVal>
          <c:smooth val="0"/>
        </c:ser>
        <c:ser>
          <c:idx val="6"/>
          <c:order val="6"/>
          <c:tx>
            <c:v>Coke</c:v>
          </c:tx>
          <c:spPr>
            <a:ln w="28575">
              <a:noFill/>
            </a:ln>
          </c:spPr>
          <c:xVal>
            <c:numRef>
              <c:f>Component!$O$50:$O$60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Component!$V$50:$V$60</c:f>
              <c:numCache>
                <c:formatCode>General</c:formatCode>
                <c:ptCount val="11"/>
                <c:pt idx="0">
                  <c:v>3.0682819594469907E-2</c:v>
                </c:pt>
                <c:pt idx="1">
                  <c:v>3.015578666608059E-2</c:v>
                </c:pt>
                <c:pt idx="2">
                  <c:v>2.9598676118290822E-2</c:v>
                </c:pt>
                <c:pt idx="3">
                  <c:v>2.9007407219380475E-2</c:v>
                </c:pt>
                <c:pt idx="4">
                  <c:v>2.8373604745665828E-2</c:v>
                </c:pt>
                <c:pt idx="5">
                  <c:v>2.7686126734124062E-2</c:v>
                </c:pt>
                <c:pt idx="6">
                  <c:v>2.6932381550887563E-2</c:v>
                </c:pt>
                <c:pt idx="7">
                  <c:v>2.6097851076932254E-2</c:v>
                </c:pt>
                <c:pt idx="8">
                  <c:v>2.5123989454018072E-2</c:v>
                </c:pt>
                <c:pt idx="9">
                  <c:v>2.4057099322856518E-2</c:v>
                </c:pt>
                <c:pt idx="10">
                  <c:v>2.298197509182753E-2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77504"/>
        <c:axId val="177487872"/>
      </c:scatterChart>
      <c:valAx>
        <c:axId val="177477504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Recycle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487872"/>
        <c:crosses val="autoZero"/>
        <c:crossBetween val="midCat"/>
      </c:valAx>
      <c:valAx>
        <c:axId val="177487872"/>
        <c:scaling>
          <c:orientation val="minMax"/>
          <c:max val="0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Weight</a:t>
                </a:r>
                <a:r>
                  <a:rPr lang="en-US" baseline="0"/>
                  <a:t> Percentage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477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Recycle</a:t>
            </a:r>
            <a:r>
              <a:rPr lang="en-US" baseline="0"/>
              <a:t> vs Conversion Rates</a:t>
            </a:r>
          </a:p>
          <a:p>
            <a:pPr>
              <a:defRPr/>
            </a:pPr>
            <a:r>
              <a:rPr lang="en-US" baseline="0"/>
              <a:t>15000 feet cubed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HCO</c:v>
          </c:tx>
          <c:spPr>
            <a:ln w="28575">
              <a:noFill/>
            </a:ln>
          </c:spPr>
          <c:xVal>
            <c:numRef>
              <c:f>Component!$O$64:$O$74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Component!$P$64:$P$74</c:f>
              <c:numCache>
                <c:formatCode>General</c:formatCode>
                <c:ptCount val="11"/>
                <c:pt idx="0">
                  <c:v>3.3076225643386956E-2</c:v>
                </c:pt>
                <c:pt idx="1">
                  <c:v>3.4295136042799941E-2</c:v>
                </c:pt>
                <c:pt idx="2">
                  <c:v>3.5596453683145866E-2</c:v>
                </c:pt>
                <c:pt idx="3">
                  <c:v>3.6974371308511798E-2</c:v>
                </c:pt>
                <c:pt idx="4">
                  <c:v>3.9980276228716811E-2</c:v>
                </c:pt>
                <c:pt idx="5">
                  <c:v>4.1635496756474065E-2</c:v>
                </c:pt>
                <c:pt idx="6">
                  <c:v>4.3417549285676267E-2</c:v>
                </c:pt>
                <c:pt idx="7">
                  <c:v>4.5348490615263047E-2</c:v>
                </c:pt>
                <c:pt idx="8">
                  <c:v>4.7805097759725544E-2</c:v>
                </c:pt>
                <c:pt idx="9">
                  <c:v>4.7804619443100112E-2</c:v>
                </c:pt>
                <c:pt idx="10">
                  <c:v>5.0708977760992271E-2</c:v>
                </c:pt>
              </c:numCache>
            </c:numRef>
          </c:yVal>
          <c:smooth val="0"/>
        </c:ser>
        <c:ser>
          <c:idx val="1"/>
          <c:order val="1"/>
          <c:tx>
            <c:v>LCO</c:v>
          </c:tx>
          <c:spPr>
            <a:ln w="28575">
              <a:noFill/>
            </a:ln>
          </c:spPr>
          <c:xVal>
            <c:numRef>
              <c:f>Component!$O$64:$O$74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Component!$Q$64:$Q$74</c:f>
              <c:numCache>
                <c:formatCode>General</c:formatCode>
                <c:ptCount val="11"/>
                <c:pt idx="0">
                  <c:v>0.12934330708686331</c:v>
                </c:pt>
                <c:pt idx="1">
                  <c:v>0.13440553798869437</c:v>
                </c:pt>
                <c:pt idx="2">
                  <c:v>0.14006799902162481</c:v>
                </c:pt>
                <c:pt idx="3">
                  <c:v>0.14647433235307139</c:v>
                </c:pt>
                <c:pt idx="4">
                  <c:v>0.16241988668813029</c:v>
                </c:pt>
                <c:pt idx="5">
                  <c:v>0.17263724715193826</c:v>
                </c:pt>
                <c:pt idx="6">
                  <c:v>0.18493866988995492</c:v>
                </c:pt>
                <c:pt idx="7">
                  <c:v>0.20054195504700609</c:v>
                </c:pt>
                <c:pt idx="8">
                  <c:v>0.21941624488205086</c:v>
                </c:pt>
                <c:pt idx="9">
                  <c:v>0.21946927099687394</c:v>
                </c:pt>
                <c:pt idx="10">
                  <c:v>0.23758272743031522</c:v>
                </c:pt>
              </c:numCache>
            </c:numRef>
          </c:yVal>
          <c:smooth val="0"/>
        </c:ser>
        <c:ser>
          <c:idx val="2"/>
          <c:order val="2"/>
          <c:tx>
            <c:v>Gasoline</c:v>
          </c:tx>
          <c:spPr>
            <a:ln w="28575">
              <a:noFill/>
            </a:ln>
          </c:spPr>
          <c:xVal>
            <c:numRef>
              <c:f>Component!$O$64:$O$74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Component!$R$64:$R$74</c:f>
              <c:numCache>
                <c:formatCode>General</c:formatCode>
                <c:ptCount val="11"/>
                <c:pt idx="0">
                  <c:v>0.37380989260814979</c:v>
                </c:pt>
                <c:pt idx="1">
                  <c:v>0.37531654585181967</c:v>
                </c:pt>
                <c:pt idx="2">
                  <c:v>0.37662289238059438</c:v>
                </c:pt>
                <c:pt idx="3">
                  <c:v>0.37763193228878011</c:v>
                </c:pt>
                <c:pt idx="4">
                  <c:v>0.37833379968526842</c:v>
                </c:pt>
                <c:pt idx="5">
                  <c:v>0.37771486143020522</c:v>
                </c:pt>
                <c:pt idx="6">
                  <c:v>0.37619498434087351</c:v>
                </c:pt>
                <c:pt idx="7">
                  <c:v>0.37323620338105773</c:v>
                </c:pt>
                <c:pt idx="8">
                  <c:v>0.3693723127448123</c:v>
                </c:pt>
                <c:pt idx="9">
                  <c:v>0.36934843380308197</c:v>
                </c:pt>
                <c:pt idx="10">
                  <c:v>0.36579599105869226</c:v>
                </c:pt>
              </c:numCache>
            </c:numRef>
          </c:yVal>
          <c:smooth val="0"/>
        </c:ser>
        <c:ser>
          <c:idx val="3"/>
          <c:order val="3"/>
          <c:tx>
            <c:v>LPG</c:v>
          </c:tx>
          <c:spPr>
            <a:ln w="28575">
              <a:noFill/>
            </a:ln>
          </c:spPr>
          <c:xVal>
            <c:numRef>
              <c:f>Component!$O$64:$O$74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Component!$S$64:$S$74</c:f>
              <c:numCache>
                <c:formatCode>General</c:formatCode>
                <c:ptCount val="11"/>
                <c:pt idx="0">
                  <c:v>0.31047861651210296</c:v>
                </c:pt>
                <c:pt idx="1">
                  <c:v>0.30505922038836375</c:v>
                </c:pt>
                <c:pt idx="2">
                  <c:v>0.29931759926522639</c:v>
                </c:pt>
                <c:pt idx="3">
                  <c:v>0.29322981663688413</c:v>
                </c:pt>
                <c:pt idx="4">
                  <c:v>0.279691834566272</c:v>
                </c:pt>
                <c:pt idx="5">
                  <c:v>0.27198255063693089</c:v>
                </c:pt>
                <c:pt idx="6">
                  <c:v>0.26340636271755058</c:v>
                </c:pt>
                <c:pt idx="7">
                  <c:v>0.25350085570649233</c:v>
                </c:pt>
                <c:pt idx="8">
                  <c:v>0.24160921097857332</c:v>
                </c:pt>
                <c:pt idx="9">
                  <c:v>0.24159047354639104</c:v>
                </c:pt>
                <c:pt idx="10">
                  <c:v>0.22966202605121958</c:v>
                </c:pt>
              </c:numCache>
            </c:numRef>
          </c:yVal>
          <c:smooth val="0"/>
        </c:ser>
        <c:ser>
          <c:idx val="4"/>
          <c:order val="4"/>
          <c:tx>
            <c:v>Dry Gas</c:v>
          </c:tx>
          <c:spPr>
            <a:ln w="28575">
              <a:noFill/>
            </a:ln>
          </c:spPr>
          <c:xVal>
            <c:numRef>
              <c:f>Component!$O$64:$O$74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Component!$T$64:$T$74</c:f>
              <c:numCache>
                <c:formatCode>General</c:formatCode>
                <c:ptCount val="11"/>
                <c:pt idx="0">
                  <c:v>0.11331811092632073</c:v>
                </c:pt>
                <c:pt idx="1">
                  <c:v>0.11160582087511949</c:v>
                </c:pt>
                <c:pt idx="2">
                  <c:v>0.10976547162542684</c:v>
                </c:pt>
                <c:pt idx="3">
                  <c:v>0.10778056337196856</c:v>
                </c:pt>
                <c:pt idx="4">
                  <c:v>0.1032414168457518</c:v>
                </c:pt>
                <c:pt idx="5">
                  <c:v>0.10058082191166459</c:v>
                </c:pt>
                <c:pt idx="6">
                  <c:v>9.7566295595163763E-2</c:v>
                </c:pt>
                <c:pt idx="7">
                  <c:v>9.4010536333237762E-2</c:v>
                </c:pt>
                <c:pt idx="8">
                  <c:v>8.9766403893367208E-2</c:v>
                </c:pt>
                <c:pt idx="9">
                  <c:v>8.9758572142384391E-2</c:v>
                </c:pt>
                <c:pt idx="10">
                  <c:v>8.5537887690887215E-2</c:v>
                </c:pt>
              </c:numCache>
            </c:numRef>
          </c:yVal>
          <c:smooth val="0"/>
        </c:ser>
        <c:ser>
          <c:idx val="5"/>
          <c:order val="5"/>
          <c:tx>
            <c:v>Hydrogen</c:v>
          </c:tx>
          <c:spPr>
            <a:ln w="28575">
              <a:noFill/>
            </a:ln>
          </c:spPr>
          <c:xVal>
            <c:numRef>
              <c:f>Component!$O$64:$O$74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Component!$U$64:$U$74</c:f>
              <c:numCache>
                <c:formatCode>General</c:formatCode>
                <c:ptCount val="11"/>
                <c:pt idx="0">
                  <c:v>6.0255909288743151E-3</c:v>
                </c:pt>
                <c:pt idx="1">
                  <c:v>5.9227329295457945E-3</c:v>
                </c:pt>
                <c:pt idx="2">
                  <c:v>5.8145946655478783E-3</c:v>
                </c:pt>
                <c:pt idx="3">
                  <c:v>5.7007282229651225E-3</c:v>
                </c:pt>
                <c:pt idx="4">
                  <c:v>5.4496576819101196E-3</c:v>
                </c:pt>
                <c:pt idx="5">
                  <c:v>5.3077969753777734E-3</c:v>
                </c:pt>
                <c:pt idx="6">
                  <c:v>5.150789960310884E-3</c:v>
                </c:pt>
                <c:pt idx="7">
                  <c:v>4.9701412791230207E-3</c:v>
                </c:pt>
                <c:pt idx="8">
                  <c:v>4.7553490102953677E-3</c:v>
                </c:pt>
                <c:pt idx="9">
                  <c:v>4.7549723547351281E-3</c:v>
                </c:pt>
                <c:pt idx="10">
                  <c:v>4.5441053606368161E-3</c:v>
                </c:pt>
              </c:numCache>
            </c:numRef>
          </c:yVal>
          <c:smooth val="0"/>
        </c:ser>
        <c:ser>
          <c:idx val="6"/>
          <c:order val="6"/>
          <c:tx>
            <c:v>Coke</c:v>
          </c:tx>
          <c:spPr>
            <a:ln w="28575">
              <a:noFill/>
            </a:ln>
          </c:spPr>
          <c:xVal>
            <c:numRef>
              <c:f>Component!$O$64:$O$74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Component!$V$64:$V$74</c:f>
              <c:numCache>
                <c:formatCode>General</c:formatCode>
                <c:ptCount val="11"/>
                <c:pt idx="0">
                  <c:v>3.3948573367305737E-2</c:v>
                </c:pt>
                <c:pt idx="1">
                  <c:v>3.3394721649770705E-2</c:v>
                </c:pt>
                <c:pt idx="2">
                  <c:v>3.2815208682772698E-2</c:v>
                </c:pt>
                <c:pt idx="3">
                  <c:v>3.2208336300699719E-2</c:v>
                </c:pt>
                <c:pt idx="4">
                  <c:v>3.0882976805586861E-2</c:v>
                </c:pt>
                <c:pt idx="5">
                  <c:v>3.01414170474666E-2</c:v>
                </c:pt>
                <c:pt idx="6">
                  <c:v>2.9325244144110967E-2</c:v>
                </c:pt>
                <c:pt idx="7">
                  <c:v>2.8391663271316876E-2</c:v>
                </c:pt>
                <c:pt idx="8">
                  <c:v>2.7275439698009912E-2</c:v>
                </c:pt>
                <c:pt idx="9">
                  <c:v>2.7273604581489676E-2</c:v>
                </c:pt>
                <c:pt idx="10">
                  <c:v>2.6168349007026616E-2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42272"/>
        <c:axId val="177544192"/>
      </c:scatterChart>
      <c:valAx>
        <c:axId val="177542272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Recycle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544192"/>
        <c:crosses val="autoZero"/>
        <c:crossBetween val="midCat"/>
      </c:valAx>
      <c:valAx>
        <c:axId val="177544192"/>
        <c:scaling>
          <c:orientation val="minMax"/>
          <c:max val="0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Weight</a:t>
                </a:r>
                <a:r>
                  <a:rPr lang="en-US" baseline="0"/>
                  <a:t> Percentage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542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Recycle</a:t>
            </a:r>
            <a:r>
              <a:rPr lang="en-US" baseline="0"/>
              <a:t> vs Conversion Rates</a:t>
            </a:r>
          </a:p>
          <a:p>
            <a:pPr>
              <a:defRPr/>
            </a:pPr>
            <a:r>
              <a:rPr lang="en-US" baseline="0"/>
              <a:t>20000 feet cubed</a:t>
            </a:r>
          </a:p>
        </c:rich>
      </c:tx>
      <c:layout>
        <c:manualLayout>
          <c:xMode val="edge"/>
          <c:yMode val="edge"/>
          <c:x val="0.25254761904761902"/>
          <c:y val="2.118804304787496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HCo</c:v>
          </c:tx>
          <c:spPr>
            <a:ln w="28575">
              <a:noFill/>
            </a:ln>
          </c:spPr>
          <c:xVal>
            <c:numRef>
              <c:f>Component!$O$78:$O$88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Component!$P$78:$P$88</c:f>
              <c:numCache>
                <c:formatCode>General</c:formatCode>
                <c:ptCount val="11"/>
                <c:pt idx="0">
                  <c:v>2.4708155787410611E-2</c:v>
                </c:pt>
                <c:pt idx="1">
                  <c:v>2.5747295486218704E-2</c:v>
                </c:pt>
                <c:pt idx="2">
                  <c:v>2.6768883605652043E-2</c:v>
                </c:pt>
                <c:pt idx="3">
                  <c:v>2.7769800724225902E-2</c:v>
                </c:pt>
                <c:pt idx="4">
                  <c:v>2.87359153828604E-2</c:v>
                </c:pt>
                <c:pt idx="5">
                  <c:v>2.9793652594977439E-2</c:v>
                </c:pt>
                <c:pt idx="6">
                  <c:v>3.1066801087242569E-2</c:v>
                </c:pt>
                <c:pt idx="7">
                  <c:v>3.2462272586326883E-2</c:v>
                </c:pt>
                <c:pt idx="8">
                  <c:v>3.3980215669454902E-2</c:v>
                </c:pt>
                <c:pt idx="9">
                  <c:v>3.5682364231415624E-2</c:v>
                </c:pt>
                <c:pt idx="10">
                  <c:v>3.748394534564306E-2</c:v>
                </c:pt>
              </c:numCache>
            </c:numRef>
          </c:yVal>
          <c:smooth val="0"/>
        </c:ser>
        <c:ser>
          <c:idx val="1"/>
          <c:order val="1"/>
          <c:tx>
            <c:v>LCO</c:v>
          </c:tx>
          <c:spPr>
            <a:ln w="28575">
              <a:noFill/>
            </a:ln>
          </c:spPr>
          <c:xVal>
            <c:numRef>
              <c:f>Component!$O$78:$O$88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Component!$Q$78:$Q$88</c:f>
              <c:numCache>
                <c:formatCode>General</c:formatCode>
                <c:ptCount val="11"/>
                <c:pt idx="0">
                  <c:v>0.11602692728943063</c:v>
                </c:pt>
                <c:pt idx="1">
                  <c:v>0.12065707836882006</c:v>
                </c:pt>
                <c:pt idx="2">
                  <c:v>0.12590351666740923</c:v>
                </c:pt>
                <c:pt idx="3">
                  <c:v>0.131889203862633</c:v>
                </c:pt>
                <c:pt idx="4">
                  <c:v>0.13878558864757629</c:v>
                </c:pt>
                <c:pt idx="5">
                  <c:v>0.14679408809507524</c:v>
                </c:pt>
                <c:pt idx="6">
                  <c:v>0.15622850015380271</c:v>
                </c:pt>
                <c:pt idx="7">
                  <c:v>0.16746102308766764</c:v>
                </c:pt>
                <c:pt idx="8">
                  <c:v>0.18155413225501268</c:v>
                </c:pt>
                <c:pt idx="9">
                  <c:v>0.20015305333926403</c:v>
                </c:pt>
                <c:pt idx="10">
                  <c:v>0.22415163879153707</c:v>
                </c:pt>
              </c:numCache>
            </c:numRef>
          </c:yVal>
          <c:smooth val="0"/>
        </c:ser>
        <c:ser>
          <c:idx val="2"/>
          <c:order val="2"/>
          <c:tx>
            <c:v>Gasoline</c:v>
          </c:tx>
          <c:spPr>
            <a:ln w="28575">
              <a:noFill/>
            </a:ln>
          </c:spPr>
          <c:xVal>
            <c:numRef>
              <c:f>Component!$O$78:$O$88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Component!$R$78:$R$88</c:f>
              <c:numCache>
                <c:formatCode>General</c:formatCode>
                <c:ptCount val="11"/>
                <c:pt idx="0">
                  <c:v>0.34281611937677003</c:v>
                </c:pt>
                <c:pt idx="1">
                  <c:v>0.34521925506011886</c:v>
                </c:pt>
                <c:pt idx="2">
                  <c:v>0.34713334134546431</c:v>
                </c:pt>
                <c:pt idx="3">
                  <c:v>0.34851272811584633</c:v>
                </c:pt>
                <c:pt idx="4">
                  <c:v>0.34928734748737694</c:v>
                </c:pt>
                <c:pt idx="5">
                  <c:v>0.34980002453951148</c:v>
                </c:pt>
                <c:pt idx="6">
                  <c:v>0.35027114136522219</c:v>
                </c:pt>
                <c:pt idx="7">
                  <c:v>0.35017589419272782</c:v>
                </c:pt>
                <c:pt idx="8">
                  <c:v>0.34905484007430315</c:v>
                </c:pt>
                <c:pt idx="9">
                  <c:v>0.34635350194675807</c:v>
                </c:pt>
                <c:pt idx="10">
                  <c:v>0.34131247014641197</c:v>
                </c:pt>
              </c:numCache>
            </c:numRef>
          </c:yVal>
          <c:smooth val="0"/>
        </c:ser>
        <c:ser>
          <c:idx val="3"/>
          <c:order val="3"/>
          <c:tx>
            <c:v>LPG</c:v>
          </c:tx>
          <c:spPr>
            <a:ln w="28575">
              <a:noFill/>
            </a:ln>
          </c:spPr>
          <c:xVal>
            <c:numRef>
              <c:f>Component!$O$78:$O$88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Component!$S$78:$S$88</c:f>
              <c:numCache>
                <c:formatCode>General</c:formatCode>
                <c:ptCount val="11"/>
                <c:pt idx="0">
                  <c:v>0.34802867802183846</c:v>
                </c:pt>
                <c:pt idx="1">
                  <c:v>0.34237887050906107</c:v>
                </c:pt>
                <c:pt idx="2">
                  <c:v>0.33668283575146857</c:v>
                </c:pt>
                <c:pt idx="3">
                  <c:v>0.33089485313682554</c:v>
                </c:pt>
                <c:pt idx="4">
                  <c:v>0.32495952987512083</c:v>
                </c:pt>
                <c:pt idx="5">
                  <c:v>0.31838930041798552</c:v>
                </c:pt>
                <c:pt idx="6">
                  <c:v>0.31071048193408696</c:v>
                </c:pt>
                <c:pt idx="7">
                  <c:v>0.3021238942132316</c:v>
                </c:pt>
                <c:pt idx="8">
                  <c:v>0.29223563477439596</c:v>
                </c:pt>
                <c:pt idx="9">
                  <c:v>0.28027203753650781</c:v>
                </c:pt>
                <c:pt idx="10">
                  <c:v>0.26623843526119373</c:v>
                </c:pt>
              </c:numCache>
            </c:numRef>
          </c:yVal>
          <c:smooth val="0"/>
        </c:ser>
        <c:ser>
          <c:idx val="4"/>
          <c:order val="4"/>
          <c:tx>
            <c:v>Dry Gas</c:v>
          </c:tx>
          <c:spPr>
            <a:ln w="28575">
              <a:noFill/>
            </a:ln>
          </c:spPr>
          <c:xVal>
            <c:numRef>
              <c:f>Component!$O$78:$O$88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Component!$T$78:$T$88</c:f>
              <c:numCache>
                <c:formatCode>General</c:formatCode>
                <c:ptCount val="11"/>
                <c:pt idx="0">
                  <c:v>0.12511061351273539</c:v>
                </c:pt>
                <c:pt idx="1">
                  <c:v>0.12342657646740998</c:v>
                </c:pt>
                <c:pt idx="2">
                  <c:v>0.12166689738678102</c:v>
                </c:pt>
                <c:pt idx="3">
                  <c:v>0.11981074624199077</c:v>
                </c:pt>
                <c:pt idx="4">
                  <c:v>0.11783483550023763</c:v>
                </c:pt>
                <c:pt idx="5">
                  <c:v>0.11562221386595409</c:v>
                </c:pt>
                <c:pt idx="6">
                  <c:v>0.11304721069450487</c:v>
                </c:pt>
                <c:pt idx="7">
                  <c:v>0.11012090307825707</c:v>
                </c:pt>
                <c:pt idx="8">
                  <c:v>0.10667538262322333</c:v>
                </c:pt>
                <c:pt idx="9">
                  <c:v>0.1024171805774844</c:v>
                </c:pt>
                <c:pt idx="10">
                  <c:v>9.7278700008092911E-2</c:v>
                </c:pt>
              </c:numCache>
            </c:numRef>
          </c:yVal>
          <c:smooth val="0"/>
        </c:ser>
        <c:ser>
          <c:idx val="5"/>
          <c:order val="5"/>
          <c:tx>
            <c:v>Hydrogen</c:v>
          </c:tx>
          <c:spPr>
            <a:ln w="28575">
              <a:noFill/>
            </a:ln>
          </c:spPr>
          <c:xVal>
            <c:numRef>
              <c:f>Component!$O$78:$O$88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Component!$U$78:$U$88</c:f>
              <c:numCache>
                <c:formatCode>General</c:formatCode>
                <c:ptCount val="11"/>
                <c:pt idx="0">
                  <c:v>6.5681915036383421E-3</c:v>
                </c:pt>
                <c:pt idx="1">
                  <c:v>6.4533107545002022E-3</c:v>
                </c:pt>
                <c:pt idx="2">
                  <c:v>6.3390793397960369E-3</c:v>
                </c:pt>
                <c:pt idx="3">
                  <c:v>6.2243855648398804E-3</c:v>
                </c:pt>
                <c:pt idx="4">
                  <c:v>6.1078151265997584E-3</c:v>
                </c:pt>
                <c:pt idx="5">
                  <c:v>5.979700622598126E-3</c:v>
                </c:pt>
                <c:pt idx="6">
                  <c:v>5.8311785495288619E-3</c:v>
                </c:pt>
                <c:pt idx="7">
                  <c:v>5.6666372626666206E-3</c:v>
                </c:pt>
                <c:pt idx="8">
                  <c:v>5.4789756368489101E-3</c:v>
                </c:pt>
                <c:pt idx="9">
                  <c:v>5.2541910864411278E-3</c:v>
                </c:pt>
                <c:pt idx="10">
                  <c:v>4.9941784557438907E-3</c:v>
                </c:pt>
              </c:numCache>
            </c:numRef>
          </c:yVal>
          <c:smooth val="0"/>
        </c:ser>
        <c:ser>
          <c:idx val="6"/>
          <c:order val="6"/>
          <c:tx>
            <c:v>Coke</c:v>
          </c:tx>
          <c:spPr>
            <a:ln w="28575">
              <a:noFill/>
            </a:ln>
          </c:spPr>
          <c:xVal>
            <c:numRef>
              <c:f>Component!$O$78:$O$88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Component!$V$78:$V$88</c:f>
              <c:numCache>
                <c:formatCode>General</c:formatCode>
                <c:ptCount val="11"/>
                <c:pt idx="0">
                  <c:v>3.6741577649738517E-2</c:v>
                </c:pt>
                <c:pt idx="1">
                  <c:v>3.6117734593651751E-2</c:v>
                </c:pt>
                <c:pt idx="2">
                  <c:v>3.5505292597906073E-2</c:v>
                </c:pt>
                <c:pt idx="3">
                  <c:v>3.4898096625407736E-2</c:v>
                </c:pt>
                <c:pt idx="4">
                  <c:v>3.4288620223967885E-2</c:v>
                </c:pt>
                <c:pt idx="5">
                  <c:v>3.3620838550887343E-2</c:v>
                </c:pt>
                <c:pt idx="6">
                  <c:v>3.2844810598121159E-2</c:v>
                </c:pt>
                <c:pt idx="7">
                  <c:v>3.1989384365416283E-2</c:v>
                </c:pt>
                <c:pt idx="8">
                  <c:v>3.1020751224712519E-2</c:v>
                </c:pt>
                <c:pt idx="9">
                  <c:v>2.986750688237955E-2</c:v>
                </c:pt>
                <c:pt idx="10">
                  <c:v>2.8540791617263833E-2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98848"/>
        <c:axId val="177600768"/>
      </c:scatterChart>
      <c:valAx>
        <c:axId val="177598848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Recycle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600768"/>
        <c:crosses val="autoZero"/>
        <c:crossBetween val="midCat"/>
      </c:valAx>
      <c:valAx>
        <c:axId val="177600768"/>
        <c:scaling>
          <c:orientation val="minMax"/>
          <c:max val="0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Weight</a:t>
                </a:r>
                <a:r>
                  <a:rPr lang="en-US" baseline="0"/>
                  <a:t> Percentage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598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Gasoline</a:t>
            </a:r>
            <a:r>
              <a:rPr lang="en-US" baseline="0"/>
              <a:t> Production vs Reactor Volume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5000 feet cubed</c:v>
          </c:tx>
          <c:spPr>
            <a:ln w="28575">
              <a:noFill/>
            </a:ln>
          </c:spPr>
          <c:xVal>
            <c:numRef>
              <c:f>Component!$O$36:$O$46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Component!$R$36:$R$46</c:f>
              <c:numCache>
                <c:formatCode>General</c:formatCode>
                <c:ptCount val="11"/>
                <c:pt idx="0">
                  <c:v>0.44018266488629892</c:v>
                </c:pt>
                <c:pt idx="1">
                  <c:v>0.43878176988645956</c:v>
                </c:pt>
                <c:pt idx="2">
                  <c:v>0.43685945211124788</c:v>
                </c:pt>
                <c:pt idx="3">
                  <c:v>0.43427719274382909</c:v>
                </c:pt>
                <c:pt idx="4">
                  <c:v>0.43084753813008619</c:v>
                </c:pt>
                <c:pt idx="5">
                  <c:v>0.42678703617097224</c:v>
                </c:pt>
                <c:pt idx="6">
                  <c:v>0.4224976955839051</c:v>
                </c:pt>
                <c:pt idx="7">
                  <c:v>0.41794823373188555</c:v>
                </c:pt>
                <c:pt idx="8">
                  <c:v>0.41375357987813655</c:v>
                </c:pt>
                <c:pt idx="9">
                  <c:v>0.40608383668421466</c:v>
                </c:pt>
                <c:pt idx="10">
                  <c:v>0.39631385072253084</c:v>
                </c:pt>
              </c:numCache>
            </c:numRef>
          </c:yVal>
          <c:smooth val="0"/>
        </c:ser>
        <c:ser>
          <c:idx val="1"/>
          <c:order val="1"/>
          <c:tx>
            <c:v>10000 ft cubed</c:v>
          </c:tx>
          <c:spPr>
            <a:ln w="28575">
              <a:noFill/>
            </a:ln>
          </c:spPr>
          <c:xVal>
            <c:numRef>
              <c:f>Component!$O$50:$O$60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Component!$R$50:$R$60</c:f>
              <c:numCache>
                <c:formatCode>General</c:formatCode>
                <c:ptCount val="11"/>
                <c:pt idx="0">
                  <c:v>0.40841450483148151</c:v>
                </c:pt>
                <c:pt idx="1">
                  <c:v>0.40897854388276977</c:v>
                </c:pt>
                <c:pt idx="2">
                  <c:v>0.40924401320182074</c:v>
                </c:pt>
                <c:pt idx="3">
                  <c:v>0.4091648417443926</c:v>
                </c:pt>
                <c:pt idx="4">
                  <c:v>0.40857884487189566</c:v>
                </c:pt>
                <c:pt idx="5">
                  <c:v>0.40733785959692242</c:v>
                </c:pt>
                <c:pt idx="6">
                  <c:v>0.40519403374002561</c:v>
                </c:pt>
                <c:pt idx="7">
                  <c:v>0.40191840479925545</c:v>
                </c:pt>
                <c:pt idx="8">
                  <c:v>0.39790346739538296</c:v>
                </c:pt>
                <c:pt idx="9">
                  <c:v>0.39294854071363716</c:v>
                </c:pt>
                <c:pt idx="10">
                  <c:v>0.38770097565394085</c:v>
                </c:pt>
              </c:numCache>
            </c:numRef>
          </c:yVal>
          <c:smooth val="0"/>
        </c:ser>
        <c:ser>
          <c:idx val="2"/>
          <c:order val="2"/>
          <c:tx>
            <c:v>15000 feet cubed</c:v>
          </c:tx>
          <c:spPr>
            <a:ln w="28575">
              <a:noFill/>
            </a:ln>
          </c:spPr>
          <c:xVal>
            <c:numRef>
              <c:f>Component!$O$64:$O$74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Component!$R$64:$R$74</c:f>
              <c:numCache>
                <c:formatCode>General</c:formatCode>
                <c:ptCount val="11"/>
                <c:pt idx="0">
                  <c:v>0.37380989260814979</c:v>
                </c:pt>
                <c:pt idx="1">
                  <c:v>0.37531654585181967</c:v>
                </c:pt>
                <c:pt idx="2">
                  <c:v>0.37662289238059438</c:v>
                </c:pt>
                <c:pt idx="3">
                  <c:v>0.37763193228878011</c:v>
                </c:pt>
                <c:pt idx="4">
                  <c:v>0.37833379968526842</c:v>
                </c:pt>
                <c:pt idx="5">
                  <c:v>0.37771486143020522</c:v>
                </c:pt>
                <c:pt idx="6">
                  <c:v>0.37619498434087351</c:v>
                </c:pt>
                <c:pt idx="7">
                  <c:v>0.37323620338105773</c:v>
                </c:pt>
                <c:pt idx="8">
                  <c:v>0.3693723127448123</c:v>
                </c:pt>
                <c:pt idx="9">
                  <c:v>0.36934843380308197</c:v>
                </c:pt>
                <c:pt idx="10">
                  <c:v>0.36579599105869226</c:v>
                </c:pt>
              </c:numCache>
            </c:numRef>
          </c:yVal>
          <c:smooth val="0"/>
        </c:ser>
        <c:ser>
          <c:idx val="3"/>
          <c:order val="3"/>
          <c:tx>
            <c:v>20000 feet cubed</c:v>
          </c:tx>
          <c:spPr>
            <a:ln w="28575">
              <a:noFill/>
            </a:ln>
          </c:spPr>
          <c:xVal>
            <c:numRef>
              <c:f>Component!$O$78:$O$88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Component!$R$78:$R$88</c:f>
              <c:numCache>
                <c:formatCode>General</c:formatCode>
                <c:ptCount val="11"/>
                <c:pt idx="0">
                  <c:v>0.34281611937677003</c:v>
                </c:pt>
                <c:pt idx="1">
                  <c:v>0.34521925506011886</c:v>
                </c:pt>
                <c:pt idx="2">
                  <c:v>0.34713334134546431</c:v>
                </c:pt>
                <c:pt idx="3">
                  <c:v>0.34851272811584633</c:v>
                </c:pt>
                <c:pt idx="4">
                  <c:v>0.34928734748737694</c:v>
                </c:pt>
                <c:pt idx="5">
                  <c:v>0.34980002453951148</c:v>
                </c:pt>
                <c:pt idx="6">
                  <c:v>0.35027114136522219</c:v>
                </c:pt>
                <c:pt idx="7">
                  <c:v>0.35017589419272782</c:v>
                </c:pt>
                <c:pt idx="8">
                  <c:v>0.34905484007430315</c:v>
                </c:pt>
                <c:pt idx="9">
                  <c:v>0.34635350194675807</c:v>
                </c:pt>
                <c:pt idx="10">
                  <c:v>0.34131247014641197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28288"/>
        <c:axId val="177630208"/>
      </c:scatterChart>
      <c:valAx>
        <c:axId val="177628288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Recycle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630208"/>
        <c:crosses val="autoZero"/>
        <c:crossBetween val="midCat"/>
      </c:valAx>
      <c:valAx>
        <c:axId val="177630208"/>
        <c:scaling>
          <c:orientation val="minMax"/>
          <c:max val="0.45"/>
          <c:min val="0.3400000000000000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Gasoline Weight Percentage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7628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369094</xdr:colOff>
      <xdr:row>0</xdr:row>
      <xdr:rowOff>0</xdr:rowOff>
    </xdr:from>
    <xdr:to>
      <xdr:col>48</xdr:col>
      <xdr:colOff>83344</xdr:colOff>
      <xdr:row>17</xdr:row>
      <xdr:rowOff>111919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0</xdr:colOff>
      <xdr:row>23</xdr:row>
      <xdr:rowOff>0</xdr:rowOff>
    </xdr:from>
    <xdr:to>
      <xdr:col>47</xdr:col>
      <xdr:colOff>321469</xdr:colOff>
      <xdr:row>40</xdr:row>
      <xdr:rowOff>111919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0</xdr:colOff>
      <xdr:row>45</xdr:row>
      <xdr:rowOff>0</xdr:rowOff>
    </xdr:from>
    <xdr:to>
      <xdr:col>47</xdr:col>
      <xdr:colOff>321469</xdr:colOff>
      <xdr:row>62</xdr:row>
      <xdr:rowOff>111918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202405</xdr:colOff>
      <xdr:row>88</xdr:row>
      <xdr:rowOff>0</xdr:rowOff>
    </xdr:from>
    <xdr:to>
      <xdr:col>46</xdr:col>
      <xdr:colOff>440530</xdr:colOff>
      <xdr:row>105</xdr:row>
      <xdr:rowOff>111919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47625</xdr:colOff>
      <xdr:row>65</xdr:row>
      <xdr:rowOff>39291</xdr:rowOff>
    </xdr:from>
    <xdr:to>
      <xdr:col>45</xdr:col>
      <xdr:colOff>285750</xdr:colOff>
      <xdr:row>82</xdr:row>
      <xdr:rowOff>151209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39</xdr:col>
      <xdr:colOff>654844</xdr:colOff>
      <xdr:row>108</xdr:row>
      <xdr:rowOff>51197</xdr:rowOff>
    </xdr:from>
    <xdr:to>
      <xdr:col>47</xdr:col>
      <xdr:colOff>285750</xdr:colOff>
      <xdr:row>126</xdr:row>
      <xdr:rowOff>8334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83344</xdr:colOff>
      <xdr:row>121</xdr:row>
      <xdr:rowOff>146446</xdr:rowOff>
    </xdr:from>
    <xdr:to>
      <xdr:col>41</xdr:col>
      <xdr:colOff>333375</xdr:colOff>
      <xdr:row>139</xdr:row>
      <xdr:rowOff>103583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11907</xdr:colOff>
      <xdr:row>25</xdr:row>
      <xdr:rowOff>51196</xdr:rowOff>
    </xdr:from>
    <xdr:to>
      <xdr:col>27</xdr:col>
      <xdr:colOff>250030</xdr:colOff>
      <xdr:row>49</xdr:row>
      <xdr:rowOff>83343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214313</xdr:colOff>
      <xdr:row>1</xdr:row>
      <xdr:rowOff>119063</xdr:rowOff>
    </xdr:from>
    <xdr:to>
      <xdr:col>26</xdr:col>
      <xdr:colOff>392908</xdr:colOff>
      <xdr:row>23</xdr:row>
      <xdr:rowOff>44052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190501</xdr:colOff>
      <xdr:row>29</xdr:row>
      <xdr:rowOff>134540</xdr:rowOff>
    </xdr:from>
    <xdr:to>
      <xdr:col>14</xdr:col>
      <xdr:colOff>71439</xdr:colOff>
      <xdr:row>51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523875</xdr:colOff>
      <xdr:row>41</xdr:row>
      <xdr:rowOff>51197</xdr:rowOff>
    </xdr:from>
    <xdr:to>
      <xdr:col>15</xdr:col>
      <xdr:colOff>83344</xdr:colOff>
      <xdr:row>59</xdr:row>
      <xdr:rowOff>8334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738186</xdr:colOff>
      <xdr:row>3</xdr:row>
      <xdr:rowOff>15478</xdr:rowOff>
    </xdr:from>
    <xdr:to>
      <xdr:col>9</xdr:col>
      <xdr:colOff>261937</xdr:colOff>
      <xdr:row>27</xdr:row>
      <xdr:rowOff>83344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592666</xdr:colOff>
      <xdr:row>4</xdr:row>
      <xdr:rowOff>136524</xdr:rowOff>
    </xdr:from>
    <xdr:to>
      <xdr:col>14</xdr:col>
      <xdr:colOff>253999</xdr:colOff>
      <xdr:row>23</xdr:row>
      <xdr:rowOff>64558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4</xdr:row>
      <xdr:rowOff>23812</xdr:rowOff>
    </xdr:from>
    <xdr:to>
      <xdr:col>15</xdr:col>
      <xdr:colOff>66675</xdr:colOff>
      <xdr:row>22</xdr:row>
      <xdr:rowOff>23812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539749</xdr:colOff>
      <xdr:row>3</xdr:row>
      <xdr:rowOff>73025</xdr:rowOff>
    </xdr:from>
    <xdr:to>
      <xdr:col>14</xdr:col>
      <xdr:colOff>201082</xdr:colOff>
      <xdr:row>22</xdr:row>
      <xdr:rowOff>1058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415018</xdr:colOff>
      <xdr:row>25</xdr:row>
      <xdr:rowOff>145596</xdr:rowOff>
    </xdr:from>
    <xdr:to>
      <xdr:col>25</xdr:col>
      <xdr:colOff>258536</xdr:colOff>
      <xdr:row>50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165553</xdr:colOff>
      <xdr:row>23</xdr:row>
      <xdr:rowOff>0</xdr:rowOff>
    </xdr:from>
    <xdr:to>
      <xdr:col>29</xdr:col>
      <xdr:colOff>11339</xdr:colOff>
      <xdr:row>47</xdr:row>
      <xdr:rowOff>4082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190499</xdr:colOff>
      <xdr:row>26</xdr:row>
      <xdr:rowOff>61232</xdr:rowOff>
    </xdr:from>
    <xdr:to>
      <xdr:col>31</xdr:col>
      <xdr:colOff>22678</xdr:colOff>
      <xdr:row>50</xdr:row>
      <xdr:rowOff>65314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476250</xdr:colOff>
      <xdr:row>37</xdr:row>
      <xdr:rowOff>40820</xdr:rowOff>
    </xdr:from>
    <xdr:to>
      <xdr:col>28</xdr:col>
      <xdr:colOff>322036</xdr:colOff>
      <xdr:row>61</xdr:row>
      <xdr:rowOff>44902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253999</xdr:colOff>
      <xdr:row>27</xdr:row>
      <xdr:rowOff>1587</xdr:rowOff>
    </xdr:from>
    <xdr:to>
      <xdr:col>14</xdr:col>
      <xdr:colOff>1000124</xdr:colOff>
      <xdr:row>53</xdr:row>
      <xdr:rowOff>47625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117"/>
  <sheetViews>
    <sheetView topLeftCell="S46" zoomScale="80" zoomScaleNormal="80" workbookViewId="0">
      <selection activeCell="W82" sqref="W82"/>
    </sheetView>
  </sheetViews>
  <sheetFormatPr defaultRowHeight="12" x14ac:dyDescent="0.2"/>
  <cols>
    <col min="1" max="1" width="19.85546875" customWidth="1"/>
    <col min="2" max="2" width="15" customWidth="1"/>
    <col min="3" max="4" width="12" customWidth="1"/>
    <col min="5" max="5" width="20.85546875" customWidth="1"/>
    <col min="6" max="6" width="16" customWidth="1"/>
    <col min="7" max="7" width="14.7109375" customWidth="1"/>
    <col min="8" max="8" width="15.85546875" customWidth="1"/>
    <col min="9" max="9" width="14.7109375" customWidth="1"/>
    <col min="10" max="10" width="18" customWidth="1"/>
    <col min="11" max="11" width="12.140625" customWidth="1"/>
    <col min="12" max="12" width="12" customWidth="1"/>
    <col min="13" max="13" width="13.7109375" customWidth="1"/>
    <col min="14" max="14" width="15.7109375" customWidth="1"/>
    <col min="15" max="16" width="14.7109375" customWidth="1"/>
    <col min="17" max="17" width="18.85546875" customWidth="1"/>
    <col min="18" max="18" width="14.42578125" customWidth="1"/>
    <col min="19" max="20" width="15.140625" customWidth="1"/>
    <col min="21" max="21" width="8.42578125" customWidth="1"/>
    <col min="22" max="22" width="13" bestFit="1" customWidth="1"/>
    <col min="23" max="23" width="22.85546875" customWidth="1"/>
    <col min="29" max="29" width="10" bestFit="1" customWidth="1"/>
    <col min="36" max="36" width="11.85546875" bestFit="1" customWidth="1"/>
    <col min="37" max="37" width="15.140625" style="1" bestFit="1" customWidth="1"/>
    <col min="38" max="38" width="15.5703125" style="74" bestFit="1" customWidth="1"/>
    <col min="39" max="39" width="9.85546875" style="1" bestFit="1" customWidth="1"/>
    <col min="40" max="40" width="10.28515625" style="1" customWidth="1"/>
    <col min="41" max="72" width="9.140625" style="1"/>
  </cols>
  <sheetData>
    <row r="1" spans="1:71" x14ac:dyDescent="0.2">
      <c r="G1">
        <v>36</v>
      </c>
      <c r="AK1" s="19"/>
      <c r="AL1" s="73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</row>
    <row r="2" spans="1:71" x14ac:dyDescent="0.2">
      <c r="A2" s="6" t="s">
        <v>0</v>
      </c>
      <c r="B2" s="6" t="s">
        <v>45</v>
      </c>
      <c r="C2" s="6" t="s">
        <v>1</v>
      </c>
      <c r="D2" s="6" t="s">
        <v>3</v>
      </c>
      <c r="E2" s="6" t="s">
        <v>4</v>
      </c>
      <c r="F2" s="6" t="s">
        <v>80</v>
      </c>
      <c r="G2" s="6" t="s">
        <v>85</v>
      </c>
      <c r="H2" s="6" t="s">
        <v>30</v>
      </c>
      <c r="I2" s="6" t="s">
        <v>95</v>
      </c>
      <c r="J2" s="6" t="s">
        <v>24</v>
      </c>
      <c r="K2" s="6"/>
      <c r="L2" s="6"/>
      <c r="M2" s="6"/>
      <c r="N2" s="6"/>
      <c r="O2" s="6"/>
      <c r="P2" s="6"/>
      <c r="Q2" s="6"/>
      <c r="R2" s="6"/>
      <c r="S2" s="6"/>
      <c r="T2" s="6" t="s">
        <v>5</v>
      </c>
      <c r="U2" s="6" t="s">
        <v>6</v>
      </c>
      <c r="V2" s="6" t="s">
        <v>7</v>
      </c>
      <c r="W2" s="6" t="s">
        <v>10</v>
      </c>
      <c r="X2" s="6" t="s">
        <v>8</v>
      </c>
      <c r="Y2" s="6" t="s">
        <v>9</v>
      </c>
      <c r="Z2" s="6" t="s">
        <v>11</v>
      </c>
      <c r="AA2" s="6" t="s">
        <v>12</v>
      </c>
      <c r="AB2" s="6" t="s">
        <v>13</v>
      </c>
      <c r="AC2" s="6" t="s">
        <v>14</v>
      </c>
      <c r="AD2" s="6" t="s">
        <v>15</v>
      </c>
      <c r="AE2" s="6" t="s">
        <v>16</v>
      </c>
      <c r="AF2" s="6" t="s">
        <v>17</v>
      </c>
      <c r="AG2" s="6" t="s">
        <v>18</v>
      </c>
      <c r="AH2" s="6" t="s">
        <v>20</v>
      </c>
      <c r="AI2" s="6" t="s">
        <v>21</v>
      </c>
      <c r="AJ2" s="23" t="s">
        <v>22</v>
      </c>
      <c r="AK2" s="19"/>
      <c r="AL2" s="73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</row>
    <row r="3" spans="1:71" x14ac:dyDescent="0.2">
      <c r="A3" s="2" t="s">
        <v>44</v>
      </c>
      <c r="B3" s="3" t="s">
        <v>25</v>
      </c>
      <c r="C3" s="2">
        <v>3.4973999999999998</v>
      </c>
      <c r="D3" s="2">
        <v>0.44850000000000001</v>
      </c>
      <c r="E3" s="2">
        <v>0.1074</v>
      </c>
      <c r="F3" s="7">
        <f>'ChemCAD Reference'!B3</f>
        <v>10.515600204467773</v>
      </c>
      <c r="G3" s="7">
        <f>'ChemCAD Reference'!B4</f>
        <v>0.6096000075340271</v>
      </c>
      <c r="H3" s="2">
        <f>J6</f>
        <v>104</v>
      </c>
      <c r="I3" s="2">
        <f>G3*H3</f>
        <v>63.398400783538818</v>
      </c>
      <c r="J3" s="2">
        <f>PI()/4*F3^2*I3</f>
        <v>5506.0013904931175</v>
      </c>
      <c r="K3" s="2"/>
      <c r="L3" s="2"/>
      <c r="M3" s="2"/>
      <c r="N3" s="2"/>
      <c r="O3" s="2"/>
      <c r="P3" s="2"/>
      <c r="Q3" s="2"/>
      <c r="R3" s="2"/>
      <c r="S3" s="2"/>
      <c r="T3" s="2">
        <f>J3</f>
        <v>5506.0013904931175</v>
      </c>
      <c r="U3" s="2">
        <f>C3+D3*LOG10(T3)+E3*(LOG10(T3))^2</f>
        <v>6.6781052598952195</v>
      </c>
      <c r="V3" s="2">
        <f>10^U3</f>
        <v>4765464.7331432588</v>
      </c>
      <c r="W3" s="3" t="s">
        <v>69</v>
      </c>
      <c r="X3" s="2" t="s">
        <v>70</v>
      </c>
      <c r="Y3" s="2">
        <v>1</v>
      </c>
      <c r="Z3" s="3">
        <v>0</v>
      </c>
      <c r="AA3" s="2">
        <v>0</v>
      </c>
      <c r="AB3" s="2">
        <v>0</v>
      </c>
      <c r="AC3" s="2">
        <v>0</v>
      </c>
      <c r="AD3" s="2">
        <v>0</v>
      </c>
      <c r="AE3" s="2">
        <v>1</v>
      </c>
      <c r="AF3" s="2">
        <v>2.25</v>
      </c>
      <c r="AG3" s="2">
        <v>1.82</v>
      </c>
      <c r="AH3" s="3">
        <v>1</v>
      </c>
      <c r="AI3" s="2">
        <f>AF3+AG3*AE3*Y3</f>
        <v>4.07</v>
      </c>
      <c r="AJ3" s="38">
        <f>AI3*V3</f>
        <v>19395441.463893063</v>
      </c>
      <c r="AK3" s="4" t="s">
        <v>0</v>
      </c>
      <c r="AL3" s="66">
        <v>42000000</v>
      </c>
      <c r="AM3" s="19">
        <v>42000000</v>
      </c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</row>
    <row r="4" spans="1:71" x14ac:dyDescent="0.2">
      <c r="AK4" s="4" t="s">
        <v>42</v>
      </c>
      <c r="AL4" s="66">
        <v>170000</v>
      </c>
      <c r="AM4" s="19">
        <v>170000</v>
      </c>
      <c r="AN4" s="50">
        <f>AJ9</f>
        <v>167629.1819716513</v>
      </c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</row>
    <row r="5" spans="1:71" x14ac:dyDescent="0.2">
      <c r="A5" s="6" t="s">
        <v>25</v>
      </c>
      <c r="B5" s="6" t="s">
        <v>45</v>
      </c>
      <c r="C5" s="6" t="s">
        <v>1</v>
      </c>
      <c r="D5" s="6" t="s">
        <v>3</v>
      </c>
      <c r="E5" s="6" t="s">
        <v>4</v>
      </c>
      <c r="F5" s="6" t="s">
        <v>27</v>
      </c>
      <c r="G5" s="6" t="s">
        <v>28</v>
      </c>
      <c r="H5" s="6" t="s">
        <v>29</v>
      </c>
      <c r="I5" s="6" t="s">
        <v>30</v>
      </c>
      <c r="J5" s="6" t="s">
        <v>30</v>
      </c>
      <c r="K5" s="6" t="s">
        <v>80</v>
      </c>
      <c r="L5" s="6" t="s">
        <v>23</v>
      </c>
      <c r="M5" s="6"/>
      <c r="N5" s="6"/>
      <c r="O5" s="6"/>
      <c r="P5" s="6"/>
      <c r="Q5" s="6"/>
      <c r="R5" s="6"/>
      <c r="S5" s="6"/>
      <c r="T5" s="6" t="s">
        <v>5</v>
      </c>
      <c r="U5" s="6" t="s">
        <v>6</v>
      </c>
      <c r="V5" s="6" t="s">
        <v>7</v>
      </c>
      <c r="W5" s="6" t="s">
        <v>10</v>
      </c>
      <c r="X5" s="6" t="s">
        <v>8</v>
      </c>
      <c r="Y5" s="6" t="s">
        <v>9</v>
      </c>
      <c r="Z5" s="6" t="s">
        <v>20</v>
      </c>
      <c r="AA5" s="6" t="s">
        <v>19</v>
      </c>
      <c r="AB5" s="6" t="s">
        <v>21</v>
      </c>
      <c r="AC5" s="6" t="s">
        <v>22</v>
      </c>
      <c r="AD5" s="8"/>
      <c r="AE5" s="8"/>
      <c r="AF5" s="8"/>
      <c r="AG5" s="8"/>
      <c r="AH5" s="8"/>
      <c r="AI5" s="8"/>
      <c r="AJ5" s="24" t="s">
        <v>22</v>
      </c>
      <c r="AK5" s="4" t="s">
        <v>76</v>
      </c>
      <c r="AL5" s="66">
        <v>16000000</v>
      </c>
      <c r="AM5" s="19">
        <v>16000000</v>
      </c>
      <c r="AN5" s="50">
        <f>AJ28</f>
        <v>1184525.998910584</v>
      </c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</row>
    <row r="6" spans="1:71" x14ac:dyDescent="0.2">
      <c r="A6" s="2" t="s">
        <v>2</v>
      </c>
      <c r="B6" s="3" t="s">
        <v>57</v>
      </c>
      <c r="C6" s="2">
        <v>2.9948999999999999</v>
      </c>
      <c r="D6" s="2">
        <v>0.44650000000000001</v>
      </c>
      <c r="E6" s="2">
        <v>0.39610000000000001</v>
      </c>
      <c r="F6" s="7">
        <f>'ChemCAD Reference'!B19</f>
        <v>0.29000490880571306</v>
      </c>
      <c r="G6" s="2">
        <f>(13.3-66.8*LOG10(F6))/100</f>
        <v>0.49211322679915354</v>
      </c>
      <c r="H6" s="7">
        <f>'ChemCAD Reference'!B1</f>
        <v>51</v>
      </c>
      <c r="I6" s="2">
        <f>H6/G6</f>
        <v>103.63468653691493</v>
      </c>
      <c r="J6" s="2">
        <f>ROUNDUP(I6,0)</f>
        <v>104</v>
      </c>
      <c r="K6" s="2">
        <f>F3</f>
        <v>10.515600204467773</v>
      </c>
      <c r="L6" s="2">
        <f>PI()/4*K6^2</f>
        <v>86.847638464766007</v>
      </c>
      <c r="M6" s="2"/>
      <c r="N6" s="2"/>
      <c r="O6" s="2"/>
      <c r="P6" s="2"/>
      <c r="Q6" s="2"/>
      <c r="R6" s="2"/>
      <c r="S6" s="2"/>
      <c r="T6" s="2">
        <f>L6</f>
        <v>86.847638464766007</v>
      </c>
      <c r="U6" s="2">
        <f>C6+D6*LOG10(T6)+E6*(LOG10(T6))^2</f>
        <v>5.3494092551853942</v>
      </c>
      <c r="V6" s="2">
        <f>10^U6</f>
        <v>223567.80102323633</v>
      </c>
      <c r="W6" s="3" t="s">
        <v>69</v>
      </c>
      <c r="X6" s="2" t="s">
        <v>70</v>
      </c>
      <c r="Y6" s="2">
        <v>1</v>
      </c>
      <c r="Z6" s="4">
        <f>J6</f>
        <v>104</v>
      </c>
      <c r="AA6" s="2">
        <v>1</v>
      </c>
      <c r="AB6" s="2">
        <v>1</v>
      </c>
      <c r="AC6" s="2">
        <f>Z6*AA6*AB6*V6</f>
        <v>23251051.306416579</v>
      </c>
      <c r="AD6" s="2"/>
      <c r="AE6" s="2"/>
      <c r="AF6" s="2"/>
      <c r="AG6" s="2"/>
      <c r="AH6" s="2"/>
      <c r="AI6" s="2"/>
      <c r="AJ6" s="38">
        <f>AC6</f>
        <v>23251051.306416579</v>
      </c>
      <c r="AK6" s="4" t="s">
        <v>40</v>
      </c>
      <c r="AL6" s="66">
        <v>11000</v>
      </c>
      <c r="AM6" s="19">
        <v>11000</v>
      </c>
      <c r="AN6" s="50">
        <f>AJ47</f>
        <v>398796.0552383663</v>
      </c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</row>
    <row r="7" spans="1:71" x14ac:dyDescent="0.2">
      <c r="AK7" s="4" t="s">
        <v>354</v>
      </c>
      <c r="AL7" s="66">
        <v>8000</v>
      </c>
      <c r="AM7" s="19">
        <v>8000</v>
      </c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</row>
    <row r="8" spans="1:71" x14ac:dyDescent="0.2">
      <c r="A8" s="6" t="s">
        <v>26</v>
      </c>
      <c r="B8" s="6" t="s">
        <v>45</v>
      </c>
      <c r="C8" s="6" t="s">
        <v>1</v>
      </c>
      <c r="D8" s="6" t="s">
        <v>3</v>
      </c>
      <c r="E8" s="6" t="s">
        <v>4</v>
      </c>
      <c r="F8" s="6" t="s">
        <v>78</v>
      </c>
      <c r="G8" s="6" t="s">
        <v>103</v>
      </c>
      <c r="H8" s="6" t="s">
        <v>96</v>
      </c>
      <c r="I8" s="6" t="s">
        <v>97</v>
      </c>
      <c r="J8" s="6" t="s">
        <v>98</v>
      </c>
      <c r="K8" s="6" t="s">
        <v>99</v>
      </c>
      <c r="L8" s="6" t="s">
        <v>100</v>
      </c>
      <c r="M8" s="6" t="s">
        <v>101</v>
      </c>
      <c r="N8" s="6" t="s">
        <v>23</v>
      </c>
      <c r="O8" s="6"/>
      <c r="P8" s="6"/>
      <c r="Q8" s="6"/>
      <c r="R8" s="6"/>
      <c r="S8" s="6"/>
      <c r="T8" s="6" t="s">
        <v>5</v>
      </c>
      <c r="U8" s="6" t="s">
        <v>6</v>
      </c>
      <c r="V8" s="6" t="s">
        <v>7</v>
      </c>
      <c r="W8" s="6" t="s">
        <v>10</v>
      </c>
      <c r="X8" s="6" t="s">
        <v>8</v>
      </c>
      <c r="Y8" s="6" t="s">
        <v>9</v>
      </c>
      <c r="Z8" s="6" t="s">
        <v>11</v>
      </c>
      <c r="AA8" s="6" t="s">
        <v>12</v>
      </c>
      <c r="AB8" s="6" t="s">
        <v>13</v>
      </c>
      <c r="AC8" s="6" t="s">
        <v>14</v>
      </c>
      <c r="AD8" s="6" t="s">
        <v>15</v>
      </c>
      <c r="AE8" s="6" t="s">
        <v>16</v>
      </c>
      <c r="AF8" s="6" t="s">
        <v>17</v>
      </c>
      <c r="AG8" s="6" t="s">
        <v>18</v>
      </c>
      <c r="AH8" s="6" t="s">
        <v>20</v>
      </c>
      <c r="AI8" s="6" t="s">
        <v>21</v>
      </c>
      <c r="AJ8" s="23" t="s">
        <v>22</v>
      </c>
      <c r="AK8" s="4" t="s">
        <v>353</v>
      </c>
      <c r="AL8" s="66">
        <v>51000</v>
      </c>
      <c r="AM8" s="19">
        <v>51000</v>
      </c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</row>
    <row r="9" spans="1:71" x14ac:dyDescent="0.2">
      <c r="A9" s="2" t="s">
        <v>42</v>
      </c>
      <c r="B9" s="3" t="s">
        <v>56</v>
      </c>
      <c r="C9" s="2">
        <v>4.8305999999999996</v>
      </c>
      <c r="D9" s="2">
        <v>-0.85089999999999999</v>
      </c>
      <c r="E9" s="2">
        <v>0.31869999999999998</v>
      </c>
      <c r="F9" s="7">
        <f>-'ChemCAD Reference'!B5</f>
        <v>270.15133666992187</v>
      </c>
      <c r="G9" s="2">
        <f>F9*277.77778</f>
        <v>75042.038564203496</v>
      </c>
      <c r="H9" s="7">
        <f>I9+1</f>
        <v>-21.435600280761719</v>
      </c>
      <c r="I9" s="7">
        <f>'ChemCAD Reference'!B8</f>
        <v>-22.435600280761719</v>
      </c>
      <c r="J9">
        <v>40</v>
      </c>
      <c r="K9" s="3">
        <v>40</v>
      </c>
      <c r="L9" s="2">
        <f>ABS(((H9-K9)-(I9-J9))/LN((H9-K9)/(I9-J9)))</f>
        <v>61.93425477379548</v>
      </c>
      <c r="M9" s="3">
        <v>850</v>
      </c>
      <c r="N9" s="2">
        <f>G9/(L9*M9)</f>
        <v>1.4254591675390205</v>
      </c>
      <c r="O9" s="2"/>
      <c r="P9" s="2"/>
      <c r="Q9" s="2"/>
      <c r="R9" s="2"/>
      <c r="S9" s="2"/>
      <c r="T9" s="2">
        <f>N9</f>
        <v>1.4254591675390205</v>
      </c>
      <c r="U9" s="2">
        <f>C9+D9*LOG10(T9)+E9*(LOG10(T9))^2</f>
        <v>4.7071537277168769</v>
      </c>
      <c r="V9" s="2">
        <f>10^U9</f>
        <v>50951.119140319541</v>
      </c>
      <c r="W9" s="3" t="s">
        <v>69</v>
      </c>
      <c r="X9" s="2" t="s">
        <v>70</v>
      </c>
      <c r="Y9" s="2">
        <v>1</v>
      </c>
      <c r="Z9" s="3">
        <v>0</v>
      </c>
      <c r="AA9" s="2">
        <v>0</v>
      </c>
      <c r="AB9" s="2">
        <v>0</v>
      </c>
      <c r="AC9" s="2">
        <v>0</v>
      </c>
      <c r="AD9" s="2">
        <v>0</v>
      </c>
      <c r="AE9" s="2">
        <v>1</v>
      </c>
      <c r="AF9" s="2">
        <v>1.63</v>
      </c>
      <c r="AG9" s="2">
        <v>1.66</v>
      </c>
      <c r="AH9" s="3">
        <v>1</v>
      </c>
      <c r="AI9" s="2">
        <f>AF9+AG9*AE9*Y9</f>
        <v>3.29</v>
      </c>
      <c r="AJ9" s="38">
        <f>AI9*V9</f>
        <v>167629.1819716513</v>
      </c>
      <c r="AK9" s="67"/>
      <c r="AL9" s="73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</row>
    <row r="10" spans="1:71" x14ac:dyDescent="0.2">
      <c r="A10" s="2" t="s">
        <v>43</v>
      </c>
      <c r="B10" s="3" t="s">
        <v>76</v>
      </c>
      <c r="C10" s="2">
        <v>7.3487999999999998</v>
      </c>
      <c r="D10" s="2">
        <v>-1.16666</v>
      </c>
      <c r="E10" s="2">
        <v>0.20280000000000001</v>
      </c>
      <c r="F10" s="7">
        <f>'ChemCAD Reference'!B6</f>
        <v>9.3187141418457031</v>
      </c>
      <c r="G10" s="2">
        <f>F10*277.77778/1000</f>
        <v>2.5885317267765044</v>
      </c>
      <c r="H10" s="4"/>
      <c r="I10" s="4"/>
      <c r="J10" s="4"/>
      <c r="K10" s="4"/>
      <c r="L10" s="4"/>
      <c r="M10" s="4"/>
      <c r="N10" s="4"/>
      <c r="O10" s="2"/>
      <c r="P10" s="2"/>
      <c r="Q10" s="2"/>
      <c r="R10" s="2"/>
      <c r="S10" s="2"/>
      <c r="T10" s="2">
        <f>G10</f>
        <v>2.5885317267765044</v>
      </c>
      <c r="U10" s="2">
        <f>C10+D10*LOG10(T10)+E10*(LOG10(T10))^2</f>
        <v>6.9015073670443794</v>
      </c>
      <c r="V10" s="2">
        <f>10^U10</f>
        <v>7970900.1171002127</v>
      </c>
      <c r="W10" s="3" t="s">
        <v>69</v>
      </c>
      <c r="X10" s="2" t="s">
        <v>70</v>
      </c>
      <c r="Y10" s="2">
        <v>1</v>
      </c>
      <c r="Z10" s="3">
        <v>0</v>
      </c>
      <c r="AA10" s="2">
        <v>0</v>
      </c>
      <c r="AB10" s="2">
        <v>0</v>
      </c>
      <c r="AC10" s="2">
        <v>0</v>
      </c>
      <c r="AD10" s="2">
        <v>0</v>
      </c>
      <c r="AE10" s="2">
        <v>1</v>
      </c>
      <c r="AF10" s="2">
        <v>0</v>
      </c>
      <c r="AG10" s="2">
        <v>0</v>
      </c>
      <c r="AH10" s="3">
        <v>1</v>
      </c>
      <c r="AI10" s="2">
        <v>2</v>
      </c>
      <c r="AJ10" s="38">
        <f>AI10*V10</f>
        <v>15941800.234200425</v>
      </c>
      <c r="AK10" s="19"/>
      <c r="AL10" s="73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</row>
    <row r="11" spans="1:71" x14ac:dyDescent="0.2">
      <c r="AK11" s="19"/>
      <c r="AL11" s="73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</row>
    <row r="12" spans="1:71" x14ac:dyDescent="0.2">
      <c r="A12" s="6" t="s">
        <v>31</v>
      </c>
      <c r="B12" s="6" t="s">
        <v>45</v>
      </c>
      <c r="C12" s="6" t="s">
        <v>1</v>
      </c>
      <c r="D12" s="6" t="s">
        <v>3</v>
      </c>
      <c r="E12" s="6" t="s">
        <v>4</v>
      </c>
      <c r="F12" s="6" t="s">
        <v>66</v>
      </c>
      <c r="G12" s="6" t="s">
        <v>67</v>
      </c>
      <c r="H12" s="6" t="s">
        <v>68</v>
      </c>
      <c r="I12" s="6" t="s">
        <v>60</v>
      </c>
      <c r="J12" s="6" t="s">
        <v>62</v>
      </c>
      <c r="K12" s="6" t="s">
        <v>61</v>
      </c>
      <c r="L12" s="6" t="s">
        <v>59</v>
      </c>
      <c r="M12" s="6" t="s">
        <v>64</v>
      </c>
      <c r="N12" s="6" t="s">
        <v>54</v>
      </c>
      <c r="O12" s="6" t="s">
        <v>55</v>
      </c>
      <c r="P12" s="6" t="s">
        <v>73</v>
      </c>
      <c r="Q12" s="6" t="s">
        <v>65</v>
      </c>
      <c r="R12" s="6" t="s">
        <v>35</v>
      </c>
      <c r="S12" s="6" t="s">
        <v>63</v>
      </c>
      <c r="T12" s="6" t="s">
        <v>5</v>
      </c>
      <c r="U12" s="6" t="s">
        <v>6</v>
      </c>
      <c r="V12" s="6" t="s">
        <v>7</v>
      </c>
      <c r="W12" s="6" t="s">
        <v>10</v>
      </c>
      <c r="X12" s="6" t="s">
        <v>8</v>
      </c>
      <c r="Y12" s="6" t="s">
        <v>9</v>
      </c>
      <c r="Z12" s="6" t="s">
        <v>11</v>
      </c>
      <c r="AA12" s="6" t="s">
        <v>12</v>
      </c>
      <c r="AB12" s="6" t="s">
        <v>13</v>
      </c>
      <c r="AC12" s="6" t="s">
        <v>14</v>
      </c>
      <c r="AD12" s="6" t="s">
        <v>15</v>
      </c>
      <c r="AE12" s="6" t="s">
        <v>16</v>
      </c>
      <c r="AF12" s="6" t="s">
        <v>17</v>
      </c>
      <c r="AG12" s="6" t="s">
        <v>18</v>
      </c>
      <c r="AH12" s="6" t="s">
        <v>20</v>
      </c>
      <c r="AI12" s="6" t="s">
        <v>21</v>
      </c>
      <c r="AJ12" s="23" t="s">
        <v>22</v>
      </c>
      <c r="AK12" s="19"/>
      <c r="AL12" s="73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</row>
    <row r="13" spans="1:71" x14ac:dyDescent="0.2">
      <c r="A13" s="2" t="s">
        <v>40</v>
      </c>
      <c r="B13" s="3" t="s">
        <v>58</v>
      </c>
      <c r="C13" s="5">
        <v>3.3892000000000002</v>
      </c>
      <c r="D13" s="5">
        <v>5.3600000000000002E-2</v>
      </c>
      <c r="E13" s="5">
        <v>0.15379999999999999</v>
      </c>
      <c r="F13" s="3">
        <f>0*144</f>
        <v>0</v>
      </c>
      <c r="G13" s="3"/>
      <c r="H13" s="4">
        <v>42.774999999999999</v>
      </c>
      <c r="I13" s="3">
        <v>10</v>
      </c>
      <c r="J13" s="4">
        <v>32.17</v>
      </c>
      <c r="K13" s="4">
        <v>32.17</v>
      </c>
      <c r="L13" s="3">
        <v>0.45</v>
      </c>
      <c r="M13" s="2">
        <f>(F13/H13+I13*J13/K13+P13)/L13</f>
        <v>22.666666666666664</v>
      </c>
      <c r="N13" s="7">
        <f>'ChemCAD Reference'!B11*2.2</f>
        <v>486253.83125000005</v>
      </c>
      <c r="O13" s="2">
        <f>N13/3600</f>
        <v>135.07050868055558</v>
      </c>
      <c r="P13" s="2">
        <v>0.2</v>
      </c>
      <c r="Q13" s="2">
        <f>M13*O13</f>
        <v>3061.5981967592593</v>
      </c>
      <c r="R13" s="2">
        <f>Q13/550</f>
        <v>5.5665421759259264</v>
      </c>
      <c r="S13" s="2">
        <f>Q13*0.001356</f>
        <v>4.1515271548055557</v>
      </c>
      <c r="T13" s="2">
        <f>R13</f>
        <v>5.5665421759259264</v>
      </c>
      <c r="U13" s="2">
        <f>C13+D13*LOG10(T13)+E13*(LOG10(T13))^2</f>
        <v>3.5146604559867782</v>
      </c>
      <c r="V13" s="2">
        <f>10^U13</f>
        <v>3270.8487045468778</v>
      </c>
      <c r="W13" s="3" t="s">
        <v>69</v>
      </c>
      <c r="X13" s="2" t="s">
        <v>70</v>
      </c>
      <c r="Y13" s="2">
        <v>1</v>
      </c>
      <c r="Z13" s="3">
        <v>0</v>
      </c>
      <c r="AA13" s="2">
        <v>0</v>
      </c>
      <c r="AB13" s="2">
        <v>0</v>
      </c>
      <c r="AC13" s="2">
        <v>0</v>
      </c>
      <c r="AD13" s="2">
        <v>0</v>
      </c>
      <c r="AE13" s="2">
        <v>1</v>
      </c>
      <c r="AF13" s="5">
        <v>1.89</v>
      </c>
      <c r="AG13" s="5">
        <v>1.35</v>
      </c>
      <c r="AH13" s="3">
        <v>2</v>
      </c>
      <c r="AI13" s="2">
        <f>AF13+AG13*AE13*Y13</f>
        <v>3.24</v>
      </c>
      <c r="AJ13" s="38">
        <f>AI13*V13</f>
        <v>10597.549802731884</v>
      </c>
      <c r="AK13" s="19"/>
      <c r="AL13" s="73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</row>
    <row r="14" spans="1:71" x14ac:dyDescent="0.2">
      <c r="A14" s="2" t="s">
        <v>41</v>
      </c>
      <c r="B14" s="3" t="s">
        <v>58</v>
      </c>
      <c r="C14" s="5">
        <v>3.3892000000000002</v>
      </c>
      <c r="D14" s="5">
        <v>5.3600000000000002E-2</v>
      </c>
      <c r="E14" s="5">
        <v>0.15379999999999999</v>
      </c>
      <c r="F14" s="3">
        <f>0*144</f>
        <v>0</v>
      </c>
      <c r="G14" s="3"/>
      <c r="H14" s="4">
        <v>42.774999999999999</v>
      </c>
      <c r="I14" s="3">
        <v>10</v>
      </c>
      <c r="J14" s="4">
        <v>32.17</v>
      </c>
      <c r="K14" s="4">
        <v>32.17</v>
      </c>
      <c r="L14" s="3">
        <v>0.45</v>
      </c>
      <c r="M14" s="2">
        <f>(F14/H14+I14*J14/K14+P14)/L14</f>
        <v>22.666666666666664</v>
      </c>
      <c r="N14" s="7">
        <f>'ChemCAD Reference'!B12*2.2</f>
        <v>142801.51875000002</v>
      </c>
      <c r="O14" s="2">
        <f>N14/3600</f>
        <v>39.667088541666672</v>
      </c>
      <c r="P14" s="2">
        <v>0.2</v>
      </c>
      <c r="Q14" s="2">
        <f>M14*O14</f>
        <v>899.1206736111111</v>
      </c>
      <c r="R14" s="2">
        <f>Q14/550</f>
        <v>1.6347648611111112</v>
      </c>
      <c r="S14" s="2">
        <f>Q14*0.001356</f>
        <v>1.2192076334166666</v>
      </c>
      <c r="T14" s="2">
        <f>R14</f>
        <v>1.6347648611111112</v>
      </c>
      <c r="U14" s="2">
        <f>C14+D14*LOG10(T14)+E14*(LOG10(T14))^2</f>
        <v>3.4076488181662441</v>
      </c>
      <c r="V14" s="2">
        <f>10^U14</f>
        <v>2556.5177839663302</v>
      </c>
      <c r="W14" s="3" t="s">
        <v>69</v>
      </c>
      <c r="X14" s="2" t="s">
        <v>70</v>
      </c>
      <c r="Y14" s="2">
        <v>1</v>
      </c>
      <c r="Z14" s="3">
        <v>0</v>
      </c>
      <c r="AA14" s="2">
        <v>0</v>
      </c>
      <c r="AB14" s="2">
        <v>0</v>
      </c>
      <c r="AC14" s="2">
        <v>0</v>
      </c>
      <c r="AD14" s="2">
        <v>0</v>
      </c>
      <c r="AE14" s="2">
        <v>1</v>
      </c>
      <c r="AF14" s="5">
        <v>1.89</v>
      </c>
      <c r="AG14" s="5">
        <v>1.35</v>
      </c>
      <c r="AH14" s="3">
        <v>2</v>
      </c>
      <c r="AI14" s="2">
        <f>AF14+AG14*AE14*Y14</f>
        <v>3.24</v>
      </c>
      <c r="AJ14" s="38">
        <f>AI14*V14</f>
        <v>8283.1176200509108</v>
      </c>
      <c r="AK14" s="19"/>
      <c r="AL14" s="73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</row>
    <row r="15" spans="1:71" x14ac:dyDescent="0.2">
      <c r="AJ15" s="39"/>
      <c r="AK15" s="19"/>
      <c r="AL15" s="73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</row>
    <row r="16" spans="1:71" x14ac:dyDescent="0.2">
      <c r="A16" s="6" t="s">
        <v>32</v>
      </c>
      <c r="B16" s="6" t="s">
        <v>45</v>
      </c>
      <c r="C16" s="6" t="s">
        <v>1</v>
      </c>
      <c r="D16" s="6" t="s">
        <v>3</v>
      </c>
      <c r="E16" s="6" t="s">
        <v>4</v>
      </c>
      <c r="F16" s="6" t="s">
        <v>34</v>
      </c>
      <c r="G16" s="6" t="s">
        <v>33</v>
      </c>
      <c r="H16" s="6" t="s">
        <v>54</v>
      </c>
      <c r="I16" s="6" t="s">
        <v>55</v>
      </c>
      <c r="J16" s="6" t="s">
        <v>36</v>
      </c>
      <c r="K16" s="6" t="s">
        <v>37</v>
      </c>
      <c r="L16" s="6" t="s">
        <v>38</v>
      </c>
      <c r="M16" s="6"/>
      <c r="N16" s="6"/>
      <c r="O16" s="6"/>
      <c r="P16" s="6"/>
      <c r="Q16" s="6"/>
      <c r="R16" s="6"/>
      <c r="S16" s="6"/>
      <c r="T16" s="6" t="s">
        <v>5</v>
      </c>
      <c r="U16" s="6" t="s">
        <v>6</v>
      </c>
      <c r="V16" s="6" t="s">
        <v>7</v>
      </c>
      <c r="W16" s="6" t="s">
        <v>10</v>
      </c>
      <c r="X16" s="6" t="s">
        <v>8</v>
      </c>
      <c r="Y16" s="6" t="s">
        <v>9</v>
      </c>
      <c r="Z16" s="6" t="s">
        <v>11</v>
      </c>
      <c r="AA16" s="6" t="s">
        <v>12</v>
      </c>
      <c r="AB16" s="6" t="s">
        <v>13</v>
      </c>
      <c r="AC16" s="6" t="s">
        <v>14</v>
      </c>
      <c r="AD16" s="6" t="s">
        <v>15</v>
      </c>
      <c r="AE16" s="6" t="s">
        <v>16</v>
      </c>
      <c r="AF16" s="6" t="s">
        <v>17</v>
      </c>
      <c r="AG16" s="6" t="s">
        <v>18</v>
      </c>
      <c r="AH16" s="6" t="s">
        <v>20</v>
      </c>
      <c r="AI16" s="6" t="s">
        <v>21</v>
      </c>
      <c r="AJ16" s="23" t="s">
        <v>22</v>
      </c>
      <c r="AK16" s="19"/>
      <c r="AL16" s="73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</row>
    <row r="17" spans="1:71" x14ac:dyDescent="0.2">
      <c r="A17" s="2" t="s">
        <v>39</v>
      </c>
      <c r="B17" s="3" t="s">
        <v>56</v>
      </c>
      <c r="C17" s="5">
        <v>3.5565000000000002</v>
      </c>
      <c r="D17" s="5">
        <v>0.37759999999999999</v>
      </c>
      <c r="E17" s="5">
        <v>9.0499999999999997E-2</v>
      </c>
      <c r="F17" s="3">
        <f>5*60</f>
        <v>300</v>
      </c>
      <c r="G17" s="2">
        <v>0.5</v>
      </c>
      <c r="H17" s="4">
        <f>N13</f>
        <v>486253.83125000005</v>
      </c>
      <c r="I17" s="2">
        <f>H17/3600</f>
        <v>135.07050868055558</v>
      </c>
      <c r="J17" s="4">
        <f>H13</f>
        <v>42.774999999999999</v>
      </c>
      <c r="K17" s="2">
        <f>I17*G17*F17/J17</f>
        <v>473.65461840054559</v>
      </c>
      <c r="L17" s="2">
        <f>K17*0.02832</f>
        <v>13.413898793103451</v>
      </c>
      <c r="M17" s="2"/>
      <c r="N17" s="2"/>
      <c r="O17" s="2"/>
      <c r="P17" s="2"/>
      <c r="Q17" s="2"/>
      <c r="R17" s="2"/>
      <c r="S17" s="2"/>
      <c r="T17" s="2">
        <f>L17</f>
        <v>13.413898793103451</v>
      </c>
      <c r="U17" s="2">
        <f>C17+D17*LOG10(T17)+E17*(LOG10(T17))^2</f>
        <v>4.0973246978759361</v>
      </c>
      <c r="V17" s="2">
        <f>10^U17</f>
        <v>12511.941290084793</v>
      </c>
      <c r="W17" s="3" t="s">
        <v>69</v>
      </c>
      <c r="X17" s="2" t="s">
        <v>70</v>
      </c>
      <c r="Y17" s="2">
        <v>1</v>
      </c>
      <c r="Z17" s="3">
        <v>0</v>
      </c>
      <c r="AA17" s="2">
        <v>0</v>
      </c>
      <c r="AB17" s="2">
        <v>0</v>
      </c>
      <c r="AC17" s="2">
        <v>0</v>
      </c>
      <c r="AD17" s="2">
        <v>0</v>
      </c>
      <c r="AE17" s="2">
        <v>1</v>
      </c>
      <c r="AF17" s="5">
        <v>2.25</v>
      </c>
      <c r="AG17" s="5">
        <v>1.82</v>
      </c>
      <c r="AH17" s="3">
        <v>1</v>
      </c>
      <c r="AI17" s="2">
        <f>AF17+AG17*AE17*Y17</f>
        <v>4.07</v>
      </c>
      <c r="AJ17" s="38">
        <f>AI17*V17</f>
        <v>50923.601050645113</v>
      </c>
      <c r="AK17" s="19">
        <f>AJ3+AJ6+AJ9+AJ10+AJ13+AJ14+AJ17</f>
        <v>58825726.454955153</v>
      </c>
      <c r="AL17" s="73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</row>
    <row r="18" spans="1:71" x14ac:dyDescent="0.2">
      <c r="AK18" s="19"/>
      <c r="AL18" s="73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</row>
    <row r="19" spans="1:71" x14ac:dyDescent="0.2">
      <c r="AK19" s="19"/>
      <c r="AL19" s="73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</row>
    <row r="20" spans="1:71" x14ac:dyDescent="0.2">
      <c r="AK20" s="19"/>
      <c r="AL20" s="73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</row>
    <row r="21" spans="1:71" x14ac:dyDescent="0.2">
      <c r="A21" s="9" t="s">
        <v>0</v>
      </c>
      <c r="B21" s="9" t="s">
        <v>45</v>
      </c>
      <c r="C21" s="9" t="s">
        <v>1</v>
      </c>
      <c r="D21" s="9" t="s">
        <v>3</v>
      </c>
      <c r="E21" s="9" t="s">
        <v>4</v>
      </c>
      <c r="F21" s="9" t="s">
        <v>80</v>
      </c>
      <c r="G21" s="9" t="s">
        <v>85</v>
      </c>
      <c r="H21" s="9" t="s">
        <v>30</v>
      </c>
      <c r="I21" s="9" t="s">
        <v>95</v>
      </c>
      <c r="J21" s="9" t="s">
        <v>24</v>
      </c>
      <c r="K21" s="9"/>
      <c r="L21" s="9"/>
      <c r="M21" s="9"/>
      <c r="N21" s="9"/>
      <c r="O21" s="9"/>
      <c r="P21" s="9"/>
      <c r="Q21" s="9"/>
      <c r="R21" s="9"/>
      <c r="S21" s="9"/>
      <c r="T21" s="9" t="s">
        <v>5</v>
      </c>
      <c r="U21" s="9" t="s">
        <v>6</v>
      </c>
      <c r="V21" s="9" t="s">
        <v>7</v>
      </c>
      <c r="W21" s="9" t="s">
        <v>10</v>
      </c>
      <c r="X21" s="9" t="s">
        <v>8</v>
      </c>
      <c r="Y21" s="9" t="s">
        <v>9</v>
      </c>
      <c r="Z21" s="9" t="s">
        <v>11</v>
      </c>
      <c r="AA21" s="9" t="s">
        <v>12</v>
      </c>
      <c r="AB21" s="9" t="s">
        <v>13</v>
      </c>
      <c r="AC21" s="9" t="s">
        <v>14</v>
      </c>
      <c r="AD21" s="9" t="s">
        <v>15</v>
      </c>
      <c r="AE21" s="9" t="s">
        <v>16</v>
      </c>
      <c r="AF21" s="9" t="s">
        <v>17</v>
      </c>
      <c r="AG21" s="9" t="s">
        <v>18</v>
      </c>
      <c r="AH21" s="9" t="s">
        <v>20</v>
      </c>
      <c r="AI21" s="9" t="s">
        <v>21</v>
      </c>
      <c r="AJ21" s="25" t="s">
        <v>22</v>
      </c>
      <c r="AK21" s="4" t="s">
        <v>0</v>
      </c>
      <c r="AL21" s="66">
        <v>820000</v>
      </c>
      <c r="AM21" s="19">
        <v>820000</v>
      </c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</row>
    <row r="22" spans="1:71" x14ac:dyDescent="0.2">
      <c r="A22" s="2" t="s">
        <v>44</v>
      </c>
      <c r="B22" s="3" t="s">
        <v>25</v>
      </c>
      <c r="C22" s="2">
        <v>3.4973999999999998</v>
      </c>
      <c r="D22" s="2">
        <v>0.44850000000000001</v>
      </c>
      <c r="E22" s="2">
        <v>0.1074</v>
      </c>
      <c r="F22" s="7">
        <f>'ChemCAD Reference'!C3</f>
        <v>7.1627998352050781</v>
      </c>
      <c r="G22" s="7">
        <f>'ChemCAD Reference'!C4</f>
        <v>0.6096000075340271</v>
      </c>
      <c r="H22" s="2">
        <f>J25</f>
        <v>7</v>
      </c>
      <c r="I22" s="2">
        <f>G22*H22</f>
        <v>4.2672000527381897</v>
      </c>
      <c r="J22" s="2">
        <f>PI()/4*F22^2*I22</f>
        <v>171.94854885174786</v>
      </c>
      <c r="K22" s="2"/>
      <c r="L22" s="2"/>
      <c r="M22" s="2"/>
      <c r="N22" s="2"/>
      <c r="O22" s="2"/>
      <c r="P22" s="2"/>
      <c r="Q22" s="2"/>
      <c r="R22" s="2"/>
      <c r="S22" s="2"/>
      <c r="T22" s="2">
        <f>J22</f>
        <v>171.94854885174786</v>
      </c>
      <c r="U22" s="2">
        <f>C22+D22*LOG10(T22)+E22*(LOG10(T22))^2</f>
        <v>5.0366547342944763</v>
      </c>
      <c r="V22" s="2">
        <f>10^U22</f>
        <v>108806.47339440181</v>
      </c>
      <c r="W22" s="3" t="s">
        <v>69</v>
      </c>
      <c r="X22" s="2" t="s">
        <v>70</v>
      </c>
      <c r="Y22" s="2">
        <v>1</v>
      </c>
      <c r="Z22" s="3">
        <v>0</v>
      </c>
      <c r="AA22" s="2">
        <v>0</v>
      </c>
      <c r="AB22" s="2">
        <v>0</v>
      </c>
      <c r="AC22" s="2">
        <v>0</v>
      </c>
      <c r="AD22" s="2">
        <v>0</v>
      </c>
      <c r="AE22" s="2">
        <v>1</v>
      </c>
      <c r="AF22" s="2">
        <v>2.25</v>
      </c>
      <c r="AG22" s="2">
        <v>1.82</v>
      </c>
      <c r="AH22" s="3">
        <v>1</v>
      </c>
      <c r="AI22" s="2">
        <f>AF22+AG22*AE22*Y22</f>
        <v>4.07</v>
      </c>
      <c r="AJ22" s="38">
        <f>AI22*V22</f>
        <v>442842.34671521536</v>
      </c>
      <c r="AK22" s="4" t="s">
        <v>42</v>
      </c>
      <c r="AL22" s="66">
        <v>1200000</v>
      </c>
      <c r="AM22" s="19">
        <v>1200000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</row>
    <row r="23" spans="1:71" x14ac:dyDescent="0.2">
      <c r="AK23" s="4" t="s">
        <v>43</v>
      </c>
      <c r="AL23" s="66">
        <v>550000</v>
      </c>
      <c r="AM23" s="19">
        <v>550000</v>
      </c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</row>
    <row r="24" spans="1:71" x14ac:dyDescent="0.2">
      <c r="A24" s="9" t="s">
        <v>25</v>
      </c>
      <c r="B24" s="9" t="s">
        <v>45</v>
      </c>
      <c r="C24" s="9" t="s">
        <v>1</v>
      </c>
      <c r="D24" s="9" t="s">
        <v>3</v>
      </c>
      <c r="E24" s="9" t="s">
        <v>4</v>
      </c>
      <c r="F24" s="9" t="s">
        <v>27</v>
      </c>
      <c r="G24" s="9" t="s">
        <v>28</v>
      </c>
      <c r="H24" s="9" t="s">
        <v>29</v>
      </c>
      <c r="I24" s="9" t="s">
        <v>30</v>
      </c>
      <c r="J24" s="9" t="s">
        <v>30</v>
      </c>
      <c r="K24" s="9" t="s">
        <v>80</v>
      </c>
      <c r="L24" s="9" t="s">
        <v>23</v>
      </c>
      <c r="M24" s="9"/>
      <c r="N24" s="9"/>
      <c r="O24" s="9"/>
      <c r="P24" s="9"/>
      <c r="Q24" s="9"/>
      <c r="R24" s="9"/>
      <c r="S24" s="9"/>
      <c r="T24" s="9" t="s">
        <v>5</v>
      </c>
      <c r="U24" s="9" t="s">
        <v>6</v>
      </c>
      <c r="V24" s="9" t="s">
        <v>7</v>
      </c>
      <c r="W24" s="9" t="s">
        <v>10</v>
      </c>
      <c r="X24" s="9" t="s">
        <v>8</v>
      </c>
      <c r="Y24" s="9" t="s">
        <v>9</v>
      </c>
      <c r="Z24" s="9" t="s">
        <v>20</v>
      </c>
      <c r="AA24" s="9" t="s">
        <v>19</v>
      </c>
      <c r="AB24" s="9" t="s">
        <v>21</v>
      </c>
      <c r="AC24" s="9" t="s">
        <v>22</v>
      </c>
      <c r="AD24" s="10"/>
      <c r="AE24" s="10"/>
      <c r="AF24" s="10"/>
      <c r="AG24" s="10"/>
      <c r="AH24" s="10"/>
      <c r="AI24" s="10"/>
      <c r="AJ24" s="26" t="s">
        <v>22</v>
      </c>
      <c r="AK24" s="4" t="s">
        <v>40</v>
      </c>
      <c r="AL24" s="66">
        <v>9600</v>
      </c>
      <c r="AM24" s="19">
        <v>9600</v>
      </c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</row>
    <row r="25" spans="1:71" x14ac:dyDescent="0.2">
      <c r="A25" s="2" t="s">
        <v>2</v>
      </c>
      <c r="B25" s="3" t="s">
        <v>57</v>
      </c>
      <c r="C25" s="2">
        <v>2.9948999999999999</v>
      </c>
      <c r="D25" s="2">
        <v>0.44650000000000001</v>
      </c>
      <c r="E25" s="2">
        <v>0.39610000000000001</v>
      </c>
      <c r="F25" s="7">
        <f>'ChemCAD Reference'!C13</f>
        <v>0.35843417048454285</v>
      </c>
      <c r="G25" s="2">
        <f>(13.3-66.8*LOG10(F25))/100</f>
        <v>0.43065451718352749</v>
      </c>
      <c r="H25" s="7">
        <f>'ChemCAD Reference'!C1</f>
        <v>3</v>
      </c>
      <c r="I25" s="2">
        <f>H25/G25</f>
        <v>6.9661407933671384</v>
      </c>
      <c r="J25" s="2">
        <f>ROUNDUP(I25,0)</f>
        <v>7</v>
      </c>
      <c r="K25" s="2">
        <f>F22</f>
        <v>7.1627998352050781</v>
      </c>
      <c r="L25" s="2">
        <f>PI()/4*K25^2</f>
        <v>40.295403713592336</v>
      </c>
      <c r="M25" s="2"/>
      <c r="N25" s="2"/>
      <c r="O25" s="2"/>
      <c r="P25" s="2"/>
      <c r="Q25" s="2"/>
      <c r="R25" s="2"/>
      <c r="S25" s="2"/>
      <c r="T25" s="2">
        <f>L25</f>
        <v>40.295403713592336</v>
      </c>
      <c r="U25" s="2">
        <f>C25+D25*LOG10(T25)+E25*(LOG10(T25))^2</f>
        <v>4.7323349918516371</v>
      </c>
      <c r="V25" s="2">
        <f>10^U25</f>
        <v>53992.693308620022</v>
      </c>
      <c r="W25" s="3" t="s">
        <v>69</v>
      </c>
      <c r="X25" s="2" t="s">
        <v>70</v>
      </c>
      <c r="Y25" s="2">
        <v>1</v>
      </c>
      <c r="Z25" s="4">
        <f>J25</f>
        <v>7</v>
      </c>
      <c r="AA25" s="2">
        <v>1</v>
      </c>
      <c r="AB25" s="2">
        <v>1</v>
      </c>
      <c r="AC25" s="2">
        <f>Z25*AA25*AB25*V25</f>
        <v>377948.85316034016</v>
      </c>
      <c r="AD25" s="2"/>
      <c r="AE25" s="2"/>
      <c r="AF25" s="2"/>
      <c r="AG25" s="2"/>
      <c r="AH25" s="2"/>
      <c r="AI25" s="2"/>
      <c r="AJ25" s="38">
        <f>AC25</f>
        <v>377948.85316034016</v>
      </c>
      <c r="AK25" s="4" t="s">
        <v>354</v>
      </c>
      <c r="AL25" s="66">
        <v>16000</v>
      </c>
      <c r="AM25" s="19">
        <v>16000</v>
      </c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</row>
    <row r="26" spans="1:71" x14ac:dyDescent="0.2">
      <c r="AK26" s="4" t="s">
        <v>353</v>
      </c>
      <c r="AL26" s="66">
        <v>39000</v>
      </c>
      <c r="AM26" s="19">
        <v>39000</v>
      </c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</row>
    <row r="27" spans="1:71" x14ac:dyDescent="0.2">
      <c r="A27" s="9" t="s">
        <v>26</v>
      </c>
      <c r="B27" s="9" t="s">
        <v>45</v>
      </c>
      <c r="C27" s="9" t="s">
        <v>1</v>
      </c>
      <c r="D27" s="9" t="s">
        <v>3</v>
      </c>
      <c r="E27" s="9" t="s">
        <v>4</v>
      </c>
      <c r="F27" s="9" t="s">
        <v>78</v>
      </c>
      <c r="G27" s="9" t="s">
        <v>102</v>
      </c>
      <c r="H27" s="9" t="s">
        <v>96</v>
      </c>
      <c r="I27" s="9" t="s">
        <v>97</v>
      </c>
      <c r="J27" s="9" t="s">
        <v>98</v>
      </c>
      <c r="K27" s="9" t="s">
        <v>99</v>
      </c>
      <c r="L27" s="9" t="s">
        <v>100</v>
      </c>
      <c r="M27" s="9" t="s">
        <v>101</v>
      </c>
      <c r="N27" s="9" t="s">
        <v>23</v>
      </c>
      <c r="O27" s="9"/>
      <c r="P27" s="9"/>
      <c r="Q27" s="9"/>
      <c r="R27" s="9"/>
      <c r="S27" s="9"/>
      <c r="T27" s="9" t="s">
        <v>5</v>
      </c>
      <c r="U27" s="9" t="s">
        <v>6</v>
      </c>
      <c r="V27" s="9" t="s">
        <v>7</v>
      </c>
      <c r="W27" s="9" t="s">
        <v>10</v>
      </c>
      <c r="X27" s="9" t="s">
        <v>8</v>
      </c>
      <c r="Y27" s="9" t="s">
        <v>9</v>
      </c>
      <c r="Z27" s="9" t="s">
        <v>11</v>
      </c>
      <c r="AA27" s="9" t="s">
        <v>12</v>
      </c>
      <c r="AB27" s="9" t="s">
        <v>13</v>
      </c>
      <c r="AC27" s="9" t="s">
        <v>14</v>
      </c>
      <c r="AD27" s="9" t="s">
        <v>15</v>
      </c>
      <c r="AE27" s="9" t="s">
        <v>16</v>
      </c>
      <c r="AF27" s="9" t="s">
        <v>17</v>
      </c>
      <c r="AG27" s="9" t="s">
        <v>18</v>
      </c>
      <c r="AH27" s="9" t="s">
        <v>20</v>
      </c>
      <c r="AI27" s="9" t="s">
        <v>21</v>
      </c>
      <c r="AJ27" s="25" t="s">
        <v>22</v>
      </c>
      <c r="AK27" s="19"/>
      <c r="AL27" s="73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</row>
    <row r="28" spans="1:71" x14ac:dyDescent="0.2">
      <c r="A28" s="2" t="s">
        <v>42</v>
      </c>
      <c r="B28" s="3" t="s">
        <v>56</v>
      </c>
      <c r="C28" s="2">
        <v>4.8305999999999996</v>
      </c>
      <c r="D28" s="2">
        <v>-0.85089999999999999</v>
      </c>
      <c r="E28" s="2">
        <v>0.31869999999999998</v>
      </c>
      <c r="F28" s="7">
        <f>-'ChemCAD Reference'!C5</f>
        <v>74.458213806152344</v>
      </c>
      <c r="G28" s="2">
        <f>F28*277.77778</f>
        <v>20682.83733383835</v>
      </c>
      <c r="H28" s="7">
        <f>'ChemCAD Reference'!C7</f>
        <v>150.09449768066406</v>
      </c>
      <c r="I28" s="7">
        <f>'ChemCAD Reference'!C8</f>
        <v>104.54371643066406</v>
      </c>
      <c r="J28">
        <v>5</v>
      </c>
      <c r="K28" s="3">
        <v>15</v>
      </c>
      <c r="L28" s="2">
        <f>ABS(((H28-K28)-(I28-J28))/LN((H28-K28)/(I28-J28)))</f>
        <v>116.41580903579751</v>
      </c>
      <c r="M28" s="3">
        <v>850</v>
      </c>
      <c r="N28" s="2">
        <f>G28/(L28*M28)</f>
        <v>0.20901585451365509</v>
      </c>
      <c r="O28" s="2"/>
      <c r="P28" s="2"/>
      <c r="Q28" s="2"/>
      <c r="R28" s="2"/>
      <c r="S28" s="2"/>
      <c r="T28" s="2">
        <f>N28</f>
        <v>0.20901585451365509</v>
      </c>
      <c r="U28" s="2">
        <f>C28+D28*LOG10(T28)+E28*(LOG10(T28))^2</f>
        <v>5.5563486994511369</v>
      </c>
      <c r="V28" s="2">
        <f>10^U28</f>
        <v>360038.29754121095</v>
      </c>
      <c r="W28" s="3" t="s">
        <v>69</v>
      </c>
      <c r="X28" s="2" t="s">
        <v>70</v>
      </c>
      <c r="Y28" s="2">
        <v>1</v>
      </c>
      <c r="Z28" s="3">
        <v>0</v>
      </c>
      <c r="AA28" s="2">
        <v>0</v>
      </c>
      <c r="AB28" s="2">
        <v>0</v>
      </c>
      <c r="AC28" s="2">
        <v>0</v>
      </c>
      <c r="AD28" s="2">
        <v>0</v>
      </c>
      <c r="AE28" s="2">
        <v>1</v>
      </c>
      <c r="AF28" s="2">
        <v>1.63</v>
      </c>
      <c r="AG28" s="2">
        <v>1.66</v>
      </c>
      <c r="AH28" s="3">
        <v>1</v>
      </c>
      <c r="AI28" s="2">
        <f>AF28+AG28*AE28*Y28</f>
        <v>3.29</v>
      </c>
      <c r="AJ28" s="38">
        <f>AI28*V28</f>
        <v>1184525.998910584</v>
      </c>
      <c r="AK28" s="19"/>
      <c r="AL28" s="73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</row>
    <row r="29" spans="1:71" x14ac:dyDescent="0.2">
      <c r="A29" s="2" t="s">
        <v>43</v>
      </c>
      <c r="B29" s="3" t="s">
        <v>56</v>
      </c>
      <c r="C29" s="2">
        <v>4.8305999999999996</v>
      </c>
      <c r="D29" s="2">
        <v>-0.85089999999999999</v>
      </c>
      <c r="E29" s="2">
        <v>0.31869999999999998</v>
      </c>
      <c r="F29" s="7">
        <f>'ChemCAD Reference'!C6</f>
        <v>151.84814453125</v>
      </c>
      <c r="G29" s="2">
        <f>F29*277.77778</f>
        <v>42180.040485009769</v>
      </c>
      <c r="H29" s="3">
        <v>254</v>
      </c>
      <c r="I29" s="3">
        <v>254</v>
      </c>
      <c r="J29" s="7">
        <f>'ChemCAD Reference'!C9</f>
        <v>161.20559692382812</v>
      </c>
      <c r="K29" s="7">
        <f>'ChemCAD Reference'!C10</f>
        <v>161.20559692382812</v>
      </c>
      <c r="L29" s="2">
        <f>I29-K29</f>
        <v>92.794403076171875</v>
      </c>
      <c r="M29" s="3">
        <v>1140</v>
      </c>
      <c r="N29" s="2">
        <f>G29/(L29*M29)</f>
        <v>0.39873132739260525</v>
      </c>
      <c r="O29" s="2"/>
      <c r="P29" s="2"/>
      <c r="Q29" s="2"/>
      <c r="R29" s="2"/>
      <c r="S29" s="2"/>
      <c r="T29" s="2">
        <f>N29</f>
        <v>0.39873132739260525</v>
      </c>
      <c r="U29" s="2">
        <f>C29+D29*LOG10(T29)+E29*(LOG10(T29))^2</f>
        <v>5.2211997662606695</v>
      </c>
      <c r="V29" s="2">
        <f>10^U29</f>
        <v>166417.79609479496</v>
      </c>
      <c r="W29" s="3" t="s">
        <v>69</v>
      </c>
      <c r="X29" s="2" t="s">
        <v>70</v>
      </c>
      <c r="Y29" s="2">
        <v>1</v>
      </c>
      <c r="Z29" s="3">
        <v>0</v>
      </c>
      <c r="AA29" s="2">
        <v>0</v>
      </c>
      <c r="AB29" s="2">
        <v>0</v>
      </c>
      <c r="AC29" s="2">
        <v>0</v>
      </c>
      <c r="AD29" s="2">
        <v>0</v>
      </c>
      <c r="AE29" s="2">
        <v>1</v>
      </c>
      <c r="AF29" s="2">
        <v>1.63</v>
      </c>
      <c r="AG29" s="2">
        <v>1.66</v>
      </c>
      <c r="AH29" s="3">
        <v>1</v>
      </c>
      <c r="AI29" s="2">
        <f>AF29+AG29*AE29*Y29</f>
        <v>3.29</v>
      </c>
      <c r="AJ29" s="38">
        <f>AI29*V29</f>
        <v>547514.54915187543</v>
      </c>
      <c r="AK29" s="19"/>
      <c r="AL29" s="73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</row>
    <row r="30" spans="1:71" x14ac:dyDescent="0.2">
      <c r="AK30" s="19"/>
      <c r="AL30" s="73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</row>
    <row r="31" spans="1:71" x14ac:dyDescent="0.2">
      <c r="A31" s="9" t="s">
        <v>31</v>
      </c>
      <c r="B31" s="9" t="s">
        <v>45</v>
      </c>
      <c r="C31" s="9" t="s">
        <v>1</v>
      </c>
      <c r="D31" s="9" t="s">
        <v>3</v>
      </c>
      <c r="E31" s="9" t="s">
        <v>4</v>
      </c>
      <c r="F31" s="9" t="s">
        <v>66</v>
      </c>
      <c r="G31" s="9" t="s">
        <v>67</v>
      </c>
      <c r="H31" s="9" t="s">
        <v>68</v>
      </c>
      <c r="I31" s="9" t="s">
        <v>60</v>
      </c>
      <c r="J31" s="9" t="s">
        <v>62</v>
      </c>
      <c r="K31" s="9" t="s">
        <v>61</v>
      </c>
      <c r="L31" s="9" t="s">
        <v>59</v>
      </c>
      <c r="M31" s="9" t="s">
        <v>64</v>
      </c>
      <c r="N31" s="9" t="s">
        <v>54</v>
      </c>
      <c r="O31" s="9" t="s">
        <v>55</v>
      </c>
      <c r="P31" s="9" t="s">
        <v>73</v>
      </c>
      <c r="Q31" s="9" t="s">
        <v>65</v>
      </c>
      <c r="R31" s="9" t="s">
        <v>35</v>
      </c>
      <c r="S31" s="9" t="s">
        <v>63</v>
      </c>
      <c r="T31" s="9" t="s">
        <v>5</v>
      </c>
      <c r="U31" s="9" t="s">
        <v>6</v>
      </c>
      <c r="V31" s="9" t="s">
        <v>7</v>
      </c>
      <c r="W31" s="9" t="s">
        <v>10</v>
      </c>
      <c r="X31" s="9" t="s">
        <v>8</v>
      </c>
      <c r="Y31" s="9" t="s">
        <v>9</v>
      </c>
      <c r="Z31" s="9" t="s">
        <v>11</v>
      </c>
      <c r="AA31" s="9" t="s">
        <v>12</v>
      </c>
      <c r="AB31" s="9" t="s">
        <v>13</v>
      </c>
      <c r="AC31" s="9" t="s">
        <v>14</v>
      </c>
      <c r="AD31" s="9" t="s">
        <v>15</v>
      </c>
      <c r="AE31" s="9" t="s">
        <v>16</v>
      </c>
      <c r="AF31" s="9" t="s">
        <v>17</v>
      </c>
      <c r="AG31" s="9" t="s">
        <v>18</v>
      </c>
      <c r="AH31" s="9" t="s">
        <v>20</v>
      </c>
      <c r="AI31" s="9" t="s">
        <v>21</v>
      </c>
      <c r="AJ31" s="25" t="s">
        <v>22</v>
      </c>
      <c r="AK31" s="19"/>
      <c r="AL31" s="73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</row>
    <row r="32" spans="1:71" x14ac:dyDescent="0.2">
      <c r="A32" s="2" t="s">
        <v>40</v>
      </c>
      <c r="B32" s="3" t="s">
        <v>58</v>
      </c>
      <c r="C32" s="5">
        <v>3.3892000000000002</v>
      </c>
      <c r="D32" s="5">
        <v>5.3600000000000002E-2</v>
      </c>
      <c r="E32" s="5">
        <v>0.15379999999999999</v>
      </c>
      <c r="F32" s="3">
        <f>0*144</f>
        <v>0</v>
      </c>
      <c r="G32" s="3"/>
      <c r="H32" s="4">
        <v>44.832999999999998</v>
      </c>
      <c r="I32" s="3">
        <v>10</v>
      </c>
      <c r="J32" s="4">
        <v>32.17</v>
      </c>
      <c r="K32" s="4">
        <v>32.17</v>
      </c>
      <c r="L32" s="3">
        <v>0.45</v>
      </c>
      <c r="M32" s="2">
        <f>(F32/H32+I32*J32/K32+P32)/L32</f>
        <v>22.666666666666664</v>
      </c>
      <c r="N32" s="7">
        <f>'ChemCAD Reference'!C11*2.2</f>
        <v>323689.609375</v>
      </c>
      <c r="O32" s="2">
        <f>N32/3600</f>
        <v>89.913780381944449</v>
      </c>
      <c r="P32" s="2">
        <v>0.2</v>
      </c>
      <c r="Q32" s="2">
        <f>M32*O32</f>
        <v>2038.0456886574073</v>
      </c>
      <c r="R32" s="2">
        <f>Q32/550</f>
        <v>3.7055376157407403</v>
      </c>
      <c r="S32" s="2">
        <f>Q32*0.001356</f>
        <v>2.7635899538194444</v>
      </c>
      <c r="T32" s="2">
        <f>R32</f>
        <v>3.7055376157407403</v>
      </c>
      <c r="U32" s="2">
        <f>C32+D32*LOG10(T32)+E32*(LOG10(T32))^2</f>
        <v>3.4694588318938031</v>
      </c>
      <c r="V32" s="2">
        <f>10^U32</f>
        <v>2947.5340575679593</v>
      </c>
      <c r="W32" s="3" t="s">
        <v>69</v>
      </c>
      <c r="X32" s="2" t="s">
        <v>70</v>
      </c>
      <c r="Y32" s="2">
        <v>1</v>
      </c>
      <c r="Z32" s="3">
        <v>0</v>
      </c>
      <c r="AA32" s="2">
        <v>0</v>
      </c>
      <c r="AB32" s="2">
        <v>0</v>
      </c>
      <c r="AC32" s="2">
        <v>0</v>
      </c>
      <c r="AD32" s="2">
        <v>0</v>
      </c>
      <c r="AE32" s="2">
        <v>1</v>
      </c>
      <c r="AF32" s="5">
        <v>1.89</v>
      </c>
      <c r="AG32" s="5">
        <v>1.35</v>
      </c>
      <c r="AH32" s="3">
        <v>2</v>
      </c>
      <c r="AI32" s="2">
        <f>AF32+AG32*AE32*Y32</f>
        <v>3.24</v>
      </c>
      <c r="AJ32" s="38">
        <f>AI32*V32</f>
        <v>9550.0103465201882</v>
      </c>
      <c r="AK32" s="19"/>
      <c r="AL32" s="73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</row>
    <row r="33" spans="1:72" x14ac:dyDescent="0.2">
      <c r="A33" s="2" t="s">
        <v>41</v>
      </c>
      <c r="B33" s="3" t="s">
        <v>58</v>
      </c>
      <c r="C33" s="5">
        <v>3.3892000000000002</v>
      </c>
      <c r="D33" s="5">
        <v>5.3600000000000002E-2</v>
      </c>
      <c r="E33" s="5">
        <v>0.15379999999999999</v>
      </c>
      <c r="F33" s="3">
        <f>0*144</f>
        <v>0</v>
      </c>
      <c r="G33" s="3"/>
      <c r="H33" s="4">
        <v>38.265099999999997</v>
      </c>
      <c r="I33" s="3">
        <v>10</v>
      </c>
      <c r="J33" s="4">
        <v>32.17</v>
      </c>
      <c r="K33" s="4">
        <v>32.17</v>
      </c>
      <c r="L33" s="3">
        <v>0.45</v>
      </c>
      <c r="M33" s="2">
        <f>(F33/H33+I33*J33/K33+P33)/L33</f>
        <v>22.666666666666664</v>
      </c>
      <c r="N33" s="7">
        <f>'ChemCAD Reference'!C12*2.2</f>
        <v>1437909</v>
      </c>
      <c r="O33" s="2">
        <f>N33/3600</f>
        <v>399.41916666666668</v>
      </c>
      <c r="P33" s="2">
        <v>0.2</v>
      </c>
      <c r="Q33" s="2">
        <f>M33*O33</f>
        <v>9053.5011111111107</v>
      </c>
      <c r="R33" s="2">
        <f>Q33/550</f>
        <v>16.460911111111109</v>
      </c>
      <c r="S33" s="2">
        <f>Q33*0.001356</f>
        <v>12.276547506666667</v>
      </c>
      <c r="T33" s="2">
        <f>R33</f>
        <v>16.460911111111109</v>
      </c>
      <c r="U33" s="2">
        <f>C33+D33*LOG10(T33)+E33*(LOG10(T33))^2</f>
        <v>3.6819890180611319</v>
      </c>
      <c r="V33" s="2">
        <f>10^U33</f>
        <v>4808.271896915905</v>
      </c>
      <c r="W33" s="3" t="s">
        <v>69</v>
      </c>
      <c r="X33" s="2" t="s">
        <v>70</v>
      </c>
      <c r="Y33" s="2">
        <v>1</v>
      </c>
      <c r="Z33" s="3">
        <v>0</v>
      </c>
      <c r="AA33" s="2">
        <v>0</v>
      </c>
      <c r="AB33" s="2">
        <v>0</v>
      </c>
      <c r="AC33" s="2">
        <v>0</v>
      </c>
      <c r="AD33" s="2">
        <v>0</v>
      </c>
      <c r="AE33" s="2">
        <v>1</v>
      </c>
      <c r="AF33" s="5">
        <v>1.89</v>
      </c>
      <c r="AG33" s="5">
        <v>1.35</v>
      </c>
      <c r="AH33" s="3">
        <v>2</v>
      </c>
      <c r="AI33" s="2">
        <f>AF33+AG33*AE33*Y33</f>
        <v>3.24</v>
      </c>
      <c r="AJ33" s="38">
        <f>AI33*V33</f>
        <v>15578.800946007534</v>
      </c>
      <c r="AK33" s="19"/>
      <c r="AL33" s="73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</row>
    <row r="34" spans="1:72" x14ac:dyDescent="0.2">
      <c r="AK34" s="19"/>
      <c r="AL34" s="73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</row>
    <row r="35" spans="1:72" x14ac:dyDescent="0.2">
      <c r="A35" s="9" t="s">
        <v>32</v>
      </c>
      <c r="B35" s="9" t="s">
        <v>45</v>
      </c>
      <c r="C35" s="9" t="s">
        <v>1</v>
      </c>
      <c r="D35" s="9" t="s">
        <v>3</v>
      </c>
      <c r="E35" s="9" t="s">
        <v>4</v>
      </c>
      <c r="F35" s="9" t="s">
        <v>34</v>
      </c>
      <c r="G35" s="9" t="s">
        <v>33</v>
      </c>
      <c r="H35" s="9" t="s">
        <v>54</v>
      </c>
      <c r="I35" s="9" t="s">
        <v>55</v>
      </c>
      <c r="J35" s="9" t="s">
        <v>36</v>
      </c>
      <c r="K35" s="9" t="s">
        <v>37</v>
      </c>
      <c r="L35" s="9" t="s">
        <v>38</v>
      </c>
      <c r="M35" s="9"/>
      <c r="N35" s="9"/>
      <c r="O35" s="9"/>
      <c r="P35" s="9"/>
      <c r="Q35" s="9"/>
      <c r="R35" s="9"/>
      <c r="S35" s="9"/>
      <c r="T35" s="9" t="s">
        <v>5</v>
      </c>
      <c r="U35" s="9" t="s">
        <v>6</v>
      </c>
      <c r="V35" s="9" t="s">
        <v>7</v>
      </c>
      <c r="W35" s="9" t="s">
        <v>10</v>
      </c>
      <c r="X35" s="9" t="s">
        <v>8</v>
      </c>
      <c r="Y35" s="9" t="s">
        <v>9</v>
      </c>
      <c r="Z35" s="9" t="s">
        <v>11</v>
      </c>
      <c r="AA35" s="9" t="s">
        <v>12</v>
      </c>
      <c r="AB35" s="9" t="s">
        <v>13</v>
      </c>
      <c r="AC35" s="9" t="s">
        <v>14</v>
      </c>
      <c r="AD35" s="9" t="s">
        <v>15</v>
      </c>
      <c r="AE35" s="9" t="s">
        <v>16</v>
      </c>
      <c r="AF35" s="9" t="s">
        <v>17</v>
      </c>
      <c r="AG35" s="9" t="s">
        <v>18</v>
      </c>
      <c r="AH35" s="9" t="s">
        <v>20</v>
      </c>
      <c r="AI35" s="9" t="s">
        <v>21</v>
      </c>
      <c r="AJ35" s="25" t="s">
        <v>22</v>
      </c>
      <c r="AK35" s="19">
        <f>AJ22+AJ25+AJ29+AJ28+AJ32+AJ33+AJ36</f>
        <v>2617384.6171998386</v>
      </c>
      <c r="AL35" s="73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</row>
    <row r="36" spans="1:72" x14ac:dyDescent="0.2">
      <c r="A36" s="2" t="s">
        <v>39</v>
      </c>
      <c r="B36" s="3" t="s">
        <v>56</v>
      </c>
      <c r="C36" s="5">
        <v>3.5565000000000002</v>
      </c>
      <c r="D36" s="5">
        <v>0.37759999999999999</v>
      </c>
      <c r="E36" s="5">
        <v>9.0499999999999997E-2</v>
      </c>
      <c r="F36" s="3">
        <f>5*60</f>
        <v>300</v>
      </c>
      <c r="G36" s="2">
        <v>0.5</v>
      </c>
      <c r="H36" s="4">
        <f>N32</f>
        <v>323689.609375</v>
      </c>
      <c r="I36" s="2">
        <f>H36/3600</f>
        <v>89.913780381944449</v>
      </c>
      <c r="J36" s="4">
        <f>H32</f>
        <v>44.832999999999998</v>
      </c>
      <c r="K36" s="2">
        <f>I36*G36*F36/J36</f>
        <v>300.82901115900495</v>
      </c>
      <c r="L36" s="2">
        <f>K36*0.02832</f>
        <v>8.5194775960230213</v>
      </c>
      <c r="M36" s="2"/>
      <c r="N36" s="2"/>
      <c r="O36" s="2"/>
      <c r="P36" s="2"/>
      <c r="Q36" s="2"/>
      <c r="R36" s="2"/>
      <c r="S36" s="2"/>
      <c r="T36" s="2">
        <f>L36</f>
        <v>8.5194775960230213</v>
      </c>
      <c r="U36" s="2">
        <f>C36+D36*LOG10(T36)+E36*(LOG10(T36))^2</f>
        <v>3.9861669155119426</v>
      </c>
      <c r="V36" s="2">
        <f>10^U36</f>
        <v>9686.5007295567339</v>
      </c>
      <c r="W36" s="3" t="s">
        <v>69</v>
      </c>
      <c r="X36" s="2" t="s">
        <v>70</v>
      </c>
      <c r="Y36" s="2">
        <v>1</v>
      </c>
      <c r="Z36" s="3">
        <v>0</v>
      </c>
      <c r="AA36" s="2">
        <v>0</v>
      </c>
      <c r="AB36" s="2">
        <v>0</v>
      </c>
      <c r="AC36" s="2">
        <v>0</v>
      </c>
      <c r="AD36" s="2">
        <v>0</v>
      </c>
      <c r="AE36" s="2">
        <v>1</v>
      </c>
      <c r="AF36" s="5">
        <v>2.25</v>
      </c>
      <c r="AG36" s="5">
        <v>1.82</v>
      </c>
      <c r="AH36" s="3">
        <v>1</v>
      </c>
      <c r="AI36" s="2">
        <f>AF36+AG36*AE36*Y36</f>
        <v>4.07</v>
      </c>
      <c r="AJ36" s="38">
        <f>AI36*V36</f>
        <v>39424.057969295907</v>
      </c>
      <c r="AK36" s="19"/>
      <c r="AL36" s="73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</row>
    <row r="37" spans="1:72" x14ac:dyDescent="0.2">
      <c r="AK37" s="19"/>
      <c r="AL37" s="73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</row>
    <row r="38" spans="1:72" x14ac:dyDescent="0.2">
      <c r="AK38" s="19"/>
      <c r="AL38" s="73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</row>
    <row r="39" spans="1:72" x14ac:dyDescent="0.2">
      <c r="AK39" s="4" t="s">
        <v>0</v>
      </c>
      <c r="AL39" s="66">
        <v>330000</v>
      </c>
      <c r="AM39" s="19">
        <v>330000</v>
      </c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</row>
    <row r="40" spans="1:72" s="17" customFormat="1" x14ac:dyDescent="0.2">
      <c r="A40" s="16" t="s">
        <v>0</v>
      </c>
      <c r="B40" s="16" t="s">
        <v>45</v>
      </c>
      <c r="C40" s="16" t="s">
        <v>1</v>
      </c>
      <c r="D40" s="16" t="s">
        <v>3</v>
      </c>
      <c r="E40" s="16" t="s">
        <v>4</v>
      </c>
      <c r="F40" s="16" t="s">
        <v>80</v>
      </c>
      <c r="G40" s="16" t="s">
        <v>85</v>
      </c>
      <c r="H40" s="16" t="s">
        <v>30</v>
      </c>
      <c r="I40" s="16" t="s">
        <v>95</v>
      </c>
      <c r="J40" s="16" t="s">
        <v>24</v>
      </c>
      <c r="K40" s="16"/>
      <c r="L40" s="16"/>
      <c r="M40" s="16"/>
      <c r="N40" s="16"/>
      <c r="O40" s="16"/>
      <c r="P40" s="16"/>
      <c r="Q40" s="16"/>
      <c r="R40" s="16"/>
      <c r="S40" s="16"/>
      <c r="T40" s="16" t="s">
        <v>5</v>
      </c>
      <c r="U40" s="16" t="s">
        <v>6</v>
      </c>
      <c r="V40" s="16" t="s">
        <v>7</v>
      </c>
      <c r="W40" s="16" t="s">
        <v>10</v>
      </c>
      <c r="X40" s="16" t="s">
        <v>8</v>
      </c>
      <c r="Y40" s="16" t="s">
        <v>9</v>
      </c>
      <c r="Z40" s="16" t="s">
        <v>11</v>
      </c>
      <c r="AA40" s="16" t="s">
        <v>12</v>
      </c>
      <c r="AB40" s="16" t="s">
        <v>13</v>
      </c>
      <c r="AC40" s="16" t="s">
        <v>14</v>
      </c>
      <c r="AD40" s="16" t="s">
        <v>15</v>
      </c>
      <c r="AE40" s="16" t="s">
        <v>16</v>
      </c>
      <c r="AF40" s="16" t="s">
        <v>17</v>
      </c>
      <c r="AG40" s="16" t="s">
        <v>18</v>
      </c>
      <c r="AH40" s="16" t="s">
        <v>20</v>
      </c>
      <c r="AI40" s="16" t="s">
        <v>21</v>
      </c>
      <c r="AJ40" s="27" t="s">
        <v>22</v>
      </c>
      <c r="AK40" s="4" t="s">
        <v>42</v>
      </c>
      <c r="AL40" s="66">
        <v>400000</v>
      </c>
      <c r="AM40" s="19">
        <v>400000</v>
      </c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"/>
    </row>
    <row r="41" spans="1:72" x14ac:dyDescent="0.2">
      <c r="A41" s="2" t="s">
        <v>44</v>
      </c>
      <c r="B41" s="3" t="s">
        <v>25</v>
      </c>
      <c r="C41" s="2">
        <v>3.4973999999999998</v>
      </c>
      <c r="D41" s="2">
        <v>0.44850000000000001</v>
      </c>
      <c r="E41" s="2">
        <v>0.1074</v>
      </c>
      <c r="F41" s="7">
        <v>2.2000000000000002</v>
      </c>
      <c r="G41" s="7">
        <f>'ChemCAD Reference'!D4</f>
        <v>0.6096000075340271</v>
      </c>
      <c r="H41" s="2">
        <f>J44</f>
        <v>38</v>
      </c>
      <c r="I41" s="2">
        <f>G41*H41</f>
        <v>23.16480028629303</v>
      </c>
      <c r="J41" s="2">
        <f>PI()/4*F41^2*I41</f>
        <v>88.056983345564447</v>
      </c>
      <c r="K41" s="2"/>
      <c r="L41" s="2"/>
      <c r="M41" s="2"/>
      <c r="N41" s="2"/>
      <c r="O41" s="2"/>
      <c r="P41" s="2"/>
      <c r="Q41" s="2"/>
      <c r="R41" s="2"/>
      <c r="S41" s="2"/>
      <c r="T41" s="2">
        <f>J41</f>
        <v>88.056983345564447</v>
      </c>
      <c r="U41" s="2">
        <f>C41+D41*LOG10(T41)+E41*(LOG10(T41))^2</f>
        <v>4.7758247771201123</v>
      </c>
      <c r="V41" s="2">
        <f>10^U41</f>
        <v>59679.445197648623</v>
      </c>
      <c r="W41" s="3" t="s">
        <v>69</v>
      </c>
      <c r="X41" s="2" t="s">
        <v>70</v>
      </c>
      <c r="Y41" s="2">
        <v>1</v>
      </c>
      <c r="Z41" s="3">
        <v>0</v>
      </c>
      <c r="AA41" s="2">
        <v>0</v>
      </c>
      <c r="AB41" s="2">
        <v>0</v>
      </c>
      <c r="AC41" s="2">
        <v>0</v>
      </c>
      <c r="AD41" s="2">
        <v>0</v>
      </c>
      <c r="AE41" s="2">
        <v>1</v>
      </c>
      <c r="AF41" s="2">
        <v>2.25</v>
      </c>
      <c r="AG41" s="2">
        <v>1.82</v>
      </c>
      <c r="AH41" s="3">
        <v>1</v>
      </c>
      <c r="AI41" s="2">
        <f>AF41+AG41*AE41*Y41</f>
        <v>4.07</v>
      </c>
      <c r="AJ41" s="38">
        <f>AI41*V41</f>
        <v>242895.34195442992</v>
      </c>
      <c r="AK41" s="4" t="s">
        <v>76</v>
      </c>
      <c r="AL41" s="66">
        <v>1300000</v>
      </c>
      <c r="AM41" s="19">
        <v>1300000</v>
      </c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</row>
    <row r="42" spans="1:72" x14ac:dyDescent="0.2">
      <c r="AK42" s="4" t="s">
        <v>40</v>
      </c>
      <c r="AL42" s="66">
        <v>11000</v>
      </c>
      <c r="AM42" s="19">
        <v>11000</v>
      </c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</row>
    <row r="43" spans="1:72" s="17" customFormat="1" x14ac:dyDescent="0.2">
      <c r="A43" s="16" t="s">
        <v>25</v>
      </c>
      <c r="B43" s="16" t="s">
        <v>45</v>
      </c>
      <c r="C43" s="16" t="s">
        <v>1</v>
      </c>
      <c r="D43" s="16" t="s">
        <v>3</v>
      </c>
      <c r="E43" s="16" t="s">
        <v>4</v>
      </c>
      <c r="F43" s="16" t="s">
        <v>27</v>
      </c>
      <c r="G43" s="16" t="s">
        <v>28</v>
      </c>
      <c r="H43" s="16" t="s">
        <v>29</v>
      </c>
      <c r="I43" s="16" t="s">
        <v>30</v>
      </c>
      <c r="J43" s="16" t="s">
        <v>30</v>
      </c>
      <c r="K43" s="16" t="s">
        <v>80</v>
      </c>
      <c r="L43" s="16" t="s">
        <v>23</v>
      </c>
      <c r="M43" s="16"/>
      <c r="N43" s="16"/>
      <c r="O43" s="16"/>
      <c r="P43" s="16"/>
      <c r="Q43" s="16"/>
      <c r="R43" s="16"/>
      <c r="S43" s="16"/>
      <c r="T43" s="16" t="s">
        <v>5</v>
      </c>
      <c r="U43" s="16" t="s">
        <v>6</v>
      </c>
      <c r="V43" s="16" t="s">
        <v>7</v>
      </c>
      <c r="W43" s="16" t="s">
        <v>10</v>
      </c>
      <c r="X43" s="16" t="s">
        <v>8</v>
      </c>
      <c r="Y43" s="16" t="s">
        <v>9</v>
      </c>
      <c r="Z43" s="16" t="s">
        <v>20</v>
      </c>
      <c r="AA43" s="16" t="s">
        <v>19</v>
      </c>
      <c r="AB43" s="16" t="s">
        <v>21</v>
      </c>
      <c r="AC43" s="16" t="s">
        <v>22</v>
      </c>
      <c r="AD43" s="18"/>
      <c r="AE43" s="18"/>
      <c r="AF43" s="18"/>
      <c r="AG43" s="18"/>
      <c r="AH43" s="18"/>
      <c r="AI43" s="18"/>
      <c r="AJ43" s="28" t="s">
        <v>22</v>
      </c>
      <c r="AK43" s="4" t="s">
        <v>354</v>
      </c>
      <c r="AL43" s="66">
        <v>9700</v>
      </c>
      <c r="AM43" s="19">
        <v>9700</v>
      </c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"/>
    </row>
    <row r="44" spans="1:72" x14ac:dyDescent="0.2">
      <c r="A44" s="2" t="s">
        <v>2</v>
      </c>
      <c r="B44" s="3" t="s">
        <v>57</v>
      </c>
      <c r="C44" s="2">
        <v>2.9948999999999999</v>
      </c>
      <c r="D44" s="2">
        <v>0.44650000000000001</v>
      </c>
      <c r="E44" s="2">
        <v>0.39610000000000001</v>
      </c>
      <c r="F44" s="7">
        <v>0.30199999999999999</v>
      </c>
      <c r="G44" s="2">
        <f>(13.3-66.8*LOG10(F44))/100</f>
        <v>0.48035536210462337</v>
      </c>
      <c r="H44" s="7">
        <f>'ChemCAD Reference'!D1</f>
        <v>18</v>
      </c>
      <c r="I44" s="2">
        <f>H44/G44</f>
        <v>37.472257874118469</v>
      </c>
      <c r="J44" s="2">
        <f>ROUNDUP(I44,0)</f>
        <v>38</v>
      </c>
      <c r="K44" s="2">
        <f>F41</f>
        <v>2.2000000000000002</v>
      </c>
      <c r="L44" s="2">
        <f>PI()/4*K44^2</f>
        <v>3.8013271108436504</v>
      </c>
      <c r="M44" s="2"/>
      <c r="N44" s="2"/>
      <c r="O44" s="2"/>
      <c r="P44" s="2"/>
      <c r="Q44" s="2"/>
      <c r="R44" s="2"/>
      <c r="S44" s="2"/>
      <c r="T44" s="2">
        <f>L44</f>
        <v>3.8013271108436504</v>
      </c>
      <c r="U44" s="2">
        <f>C44+D44*LOG10(T44)+E44*(LOG10(T44))^2</f>
        <v>3.387059373382789</v>
      </c>
      <c r="V44" s="2">
        <f>10^U44</f>
        <v>2438.1441197928079</v>
      </c>
      <c r="W44" s="3" t="s">
        <v>69</v>
      </c>
      <c r="X44" s="2" t="s">
        <v>70</v>
      </c>
      <c r="Y44" s="2">
        <v>1</v>
      </c>
      <c r="Z44" s="4">
        <f>J44</f>
        <v>38</v>
      </c>
      <c r="AA44" s="2">
        <v>1</v>
      </c>
      <c r="AB44" s="2">
        <v>1</v>
      </c>
      <c r="AC44" s="2">
        <f>Z44*AA44*AB44*V44</f>
        <v>92649.476552126696</v>
      </c>
      <c r="AD44" s="2"/>
      <c r="AE44" s="2"/>
      <c r="AF44" s="2"/>
      <c r="AG44" s="2"/>
      <c r="AH44" s="2"/>
      <c r="AI44" s="2"/>
      <c r="AJ44" s="38">
        <f>AC44</f>
        <v>92649.476552126696</v>
      </c>
      <c r="AK44" s="4" t="s">
        <v>353</v>
      </c>
      <c r="AL44" s="66">
        <v>56000</v>
      </c>
      <c r="AM44" s="19">
        <v>56000</v>
      </c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</row>
    <row r="45" spans="1:72" x14ac:dyDescent="0.2">
      <c r="AK45" s="4"/>
      <c r="AL45" s="66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</row>
    <row r="46" spans="1:72" s="17" customFormat="1" x14ac:dyDescent="0.2">
      <c r="A46" s="16" t="s">
        <v>26</v>
      </c>
      <c r="B46" s="16" t="s">
        <v>45</v>
      </c>
      <c r="C46" s="16" t="s">
        <v>1</v>
      </c>
      <c r="D46" s="16" t="s">
        <v>3</v>
      </c>
      <c r="E46" s="16" t="s">
        <v>4</v>
      </c>
      <c r="F46" s="16" t="s">
        <v>78</v>
      </c>
      <c r="G46" s="16" t="s">
        <v>103</v>
      </c>
      <c r="H46" s="16" t="s">
        <v>96</v>
      </c>
      <c r="I46" s="16" t="s">
        <v>97</v>
      </c>
      <c r="J46" s="16" t="s">
        <v>98</v>
      </c>
      <c r="K46" s="16" t="s">
        <v>99</v>
      </c>
      <c r="L46" s="16" t="s">
        <v>100</v>
      </c>
      <c r="M46" s="16" t="s">
        <v>101</v>
      </c>
      <c r="N46" s="16" t="s">
        <v>23</v>
      </c>
      <c r="O46" s="16"/>
      <c r="P46" s="16"/>
      <c r="Q46" s="16"/>
      <c r="R46" s="16"/>
      <c r="S46" s="16"/>
      <c r="T46" s="16" t="s">
        <v>5</v>
      </c>
      <c r="U46" s="16" t="s">
        <v>6</v>
      </c>
      <c r="V46" s="16" t="s">
        <v>7</v>
      </c>
      <c r="W46" s="16" t="s">
        <v>10</v>
      </c>
      <c r="X46" s="16" t="s">
        <v>8</v>
      </c>
      <c r="Y46" s="16" t="s">
        <v>9</v>
      </c>
      <c r="Z46" s="16" t="s">
        <v>11</v>
      </c>
      <c r="AA46" s="16" t="s">
        <v>12</v>
      </c>
      <c r="AB46" s="16" t="s">
        <v>13</v>
      </c>
      <c r="AC46" s="16" t="s">
        <v>14</v>
      </c>
      <c r="AD46" s="16" t="s">
        <v>15</v>
      </c>
      <c r="AE46" s="16" t="s">
        <v>16</v>
      </c>
      <c r="AF46" s="16" t="s">
        <v>17</v>
      </c>
      <c r="AG46" s="16" t="s">
        <v>18</v>
      </c>
      <c r="AH46" s="16" t="s">
        <v>20</v>
      </c>
      <c r="AI46" s="16" t="s">
        <v>21</v>
      </c>
      <c r="AJ46" s="27" t="s">
        <v>22</v>
      </c>
      <c r="AK46" s="19"/>
      <c r="AL46" s="73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"/>
    </row>
    <row r="47" spans="1:72" x14ac:dyDescent="0.2">
      <c r="A47" s="2" t="s">
        <v>42</v>
      </c>
      <c r="B47" s="3" t="s">
        <v>56</v>
      </c>
      <c r="C47" s="2">
        <v>4.8305999999999996</v>
      </c>
      <c r="D47" s="2">
        <v>-0.85089999999999999</v>
      </c>
      <c r="E47" s="2">
        <v>0.31869999999999998</v>
      </c>
      <c r="F47" s="7">
        <f>-'ChemCAD Reference'!D5</f>
        <v>32.025508880615234</v>
      </c>
      <c r="G47" s="2">
        <f>F47*277.77778</f>
        <v>8895.9747602275856</v>
      </c>
      <c r="H47" s="7">
        <f>'ChemCAD Reference'!D7</f>
        <v>133.32304382324219</v>
      </c>
      <c r="I47" s="7">
        <v>31</v>
      </c>
      <c r="J47">
        <v>30</v>
      </c>
      <c r="K47" s="3">
        <v>45</v>
      </c>
      <c r="L47" s="2">
        <f>ABS(((H47-K47)-(I47-J47))/LN((H47-K47)/(I47-J47)))</f>
        <v>19.487396440283398</v>
      </c>
      <c r="M47" s="3">
        <v>850</v>
      </c>
      <c r="N47" s="2">
        <f>G47/(L47*M47)</f>
        <v>0.53705751259089574</v>
      </c>
      <c r="O47" s="2"/>
      <c r="P47" s="2"/>
      <c r="Q47" s="2"/>
      <c r="R47" s="2"/>
      <c r="S47" s="2"/>
      <c r="T47" s="2">
        <f>N47</f>
        <v>0.53705751259089574</v>
      </c>
      <c r="U47" s="2">
        <f>C47+D47*LOG10(T47)+E47*(LOG10(T47))^2</f>
        <v>5.0835549558102979</v>
      </c>
      <c r="V47" s="2">
        <f>10^U47</f>
        <v>121214.60645543049</v>
      </c>
      <c r="W47" s="3" t="s">
        <v>69</v>
      </c>
      <c r="X47" s="2" t="s">
        <v>70</v>
      </c>
      <c r="Y47" s="2">
        <v>1</v>
      </c>
      <c r="Z47" s="3">
        <v>0</v>
      </c>
      <c r="AA47" s="2">
        <v>0</v>
      </c>
      <c r="AB47" s="2">
        <v>0</v>
      </c>
      <c r="AC47" s="2">
        <v>0</v>
      </c>
      <c r="AD47" s="2">
        <v>0</v>
      </c>
      <c r="AE47" s="2">
        <v>1</v>
      </c>
      <c r="AF47" s="2">
        <v>1.63</v>
      </c>
      <c r="AG47" s="2">
        <v>1.66</v>
      </c>
      <c r="AH47" s="3">
        <v>1</v>
      </c>
      <c r="AI47" s="2">
        <f>AF47+AG47*AE47*Y47</f>
        <v>3.29</v>
      </c>
      <c r="AJ47" s="38">
        <f>AI47*V47</f>
        <v>398796.0552383663</v>
      </c>
      <c r="AK47" s="19"/>
      <c r="AL47" s="73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</row>
    <row r="48" spans="1:72" x14ac:dyDescent="0.2">
      <c r="A48" s="2" t="s">
        <v>43</v>
      </c>
      <c r="B48" s="3" t="s">
        <v>76</v>
      </c>
      <c r="C48" s="2">
        <v>7.3487999999999998</v>
      </c>
      <c r="D48" s="2">
        <v>-1.16666</v>
      </c>
      <c r="E48" s="2">
        <v>2.0279999999999999E-2</v>
      </c>
      <c r="F48" s="7">
        <f>'ChemCAD Reference'!D6</f>
        <v>79.134559631347656</v>
      </c>
      <c r="G48" s="2">
        <f>F48*277.77778/1000</f>
        <v>21.981822295673371</v>
      </c>
      <c r="H48" s="3"/>
      <c r="I48" s="3"/>
      <c r="J48" s="7"/>
      <c r="K48" s="7"/>
      <c r="L48" s="2"/>
      <c r="M48" s="3"/>
      <c r="N48" s="2"/>
      <c r="O48" s="2"/>
      <c r="P48" s="2"/>
      <c r="Q48" s="2"/>
      <c r="R48" s="2"/>
      <c r="S48" s="2"/>
      <c r="T48" s="2">
        <f>G48</f>
        <v>21.981822295673371</v>
      </c>
      <c r="U48" s="2">
        <f>C48+D48*LOG10(T48)+E48*(LOG10(T48))^2</f>
        <v>5.8195949892297563</v>
      </c>
      <c r="V48" s="2">
        <f>10^U48</f>
        <v>660077.59116458741</v>
      </c>
      <c r="W48" s="3" t="s">
        <v>69</v>
      </c>
      <c r="X48" s="2" t="s">
        <v>70</v>
      </c>
      <c r="Y48" s="2">
        <v>1</v>
      </c>
      <c r="Z48" s="3">
        <v>0</v>
      </c>
      <c r="AA48" s="2">
        <v>0</v>
      </c>
      <c r="AB48" s="2">
        <v>0</v>
      </c>
      <c r="AC48" s="2">
        <v>0</v>
      </c>
      <c r="AD48" s="2">
        <v>0</v>
      </c>
      <c r="AE48" s="2">
        <v>1</v>
      </c>
      <c r="AF48" s="2"/>
      <c r="AG48" s="2"/>
      <c r="AH48" s="3">
        <v>1</v>
      </c>
      <c r="AI48" s="2">
        <v>2</v>
      </c>
      <c r="AJ48" s="38">
        <f>AI48*V48</f>
        <v>1320155.1823291748</v>
      </c>
      <c r="AK48" s="19"/>
      <c r="AL48" s="73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</row>
    <row r="49" spans="1:72" x14ac:dyDescent="0.2">
      <c r="AK49" s="19"/>
      <c r="AL49" s="73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</row>
    <row r="50" spans="1:72" s="17" customFormat="1" x14ac:dyDescent="0.2">
      <c r="A50" s="16" t="s">
        <v>31</v>
      </c>
      <c r="B50" s="16" t="s">
        <v>45</v>
      </c>
      <c r="C50" s="16" t="s">
        <v>1</v>
      </c>
      <c r="D50" s="16" t="s">
        <v>3</v>
      </c>
      <c r="E50" s="16" t="s">
        <v>4</v>
      </c>
      <c r="F50" s="16" t="s">
        <v>66</v>
      </c>
      <c r="G50" s="16" t="s">
        <v>67</v>
      </c>
      <c r="H50" s="16" t="s">
        <v>68</v>
      </c>
      <c r="I50" s="16" t="s">
        <v>60</v>
      </c>
      <c r="J50" s="16" t="s">
        <v>62</v>
      </c>
      <c r="K50" s="16" t="s">
        <v>61</v>
      </c>
      <c r="L50" s="16" t="s">
        <v>59</v>
      </c>
      <c r="M50" s="16" t="s">
        <v>64</v>
      </c>
      <c r="N50" s="16" t="s">
        <v>54</v>
      </c>
      <c r="O50" s="16" t="s">
        <v>55</v>
      </c>
      <c r="P50" s="16" t="s">
        <v>73</v>
      </c>
      <c r="Q50" s="16" t="s">
        <v>65</v>
      </c>
      <c r="R50" s="16" t="s">
        <v>35</v>
      </c>
      <c r="S50" s="16" t="s">
        <v>63</v>
      </c>
      <c r="T50" s="16" t="s">
        <v>5</v>
      </c>
      <c r="U50" s="16" t="s">
        <v>6</v>
      </c>
      <c r="V50" s="16" t="s">
        <v>7</v>
      </c>
      <c r="W50" s="16" t="s">
        <v>10</v>
      </c>
      <c r="X50" s="16" t="s">
        <v>8</v>
      </c>
      <c r="Y50" s="16" t="s">
        <v>9</v>
      </c>
      <c r="Z50" s="16" t="s">
        <v>11</v>
      </c>
      <c r="AA50" s="16" t="s">
        <v>12</v>
      </c>
      <c r="AB50" s="16" t="s">
        <v>13</v>
      </c>
      <c r="AC50" s="16" t="s">
        <v>14</v>
      </c>
      <c r="AD50" s="16" t="s">
        <v>15</v>
      </c>
      <c r="AE50" s="16" t="s">
        <v>16</v>
      </c>
      <c r="AF50" s="16" t="s">
        <v>17</v>
      </c>
      <c r="AG50" s="16" t="s">
        <v>18</v>
      </c>
      <c r="AH50" s="16" t="s">
        <v>20</v>
      </c>
      <c r="AI50" s="16" t="s">
        <v>21</v>
      </c>
      <c r="AJ50" s="27" t="s">
        <v>22</v>
      </c>
      <c r="AK50" s="19"/>
      <c r="AL50" s="73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"/>
    </row>
    <row r="51" spans="1:72" x14ac:dyDescent="0.2">
      <c r="A51" s="2" t="s">
        <v>40</v>
      </c>
      <c r="B51" s="3" t="s">
        <v>58</v>
      </c>
      <c r="C51" s="5">
        <v>3.3892000000000002</v>
      </c>
      <c r="D51" s="5">
        <v>5.3600000000000002E-2</v>
      </c>
      <c r="E51" s="5">
        <v>0.15379999999999999</v>
      </c>
      <c r="F51" s="3">
        <f>0*144</f>
        <v>0</v>
      </c>
      <c r="G51" s="3"/>
      <c r="H51" s="4">
        <v>42.406999999999996</v>
      </c>
      <c r="I51" s="3">
        <v>10</v>
      </c>
      <c r="J51" s="4">
        <v>32.17</v>
      </c>
      <c r="K51" s="4">
        <v>32.17</v>
      </c>
      <c r="L51" s="3">
        <v>0.45</v>
      </c>
      <c r="M51" s="2">
        <f>(F51/H51+I51*J51/K51+P51)/L51</f>
        <v>22.666666666666664</v>
      </c>
      <c r="N51" s="7">
        <f>'ChemCAD Reference'!D11*2.2</f>
        <v>564859.453125</v>
      </c>
      <c r="O51" s="2">
        <f>N51/3600</f>
        <v>156.90540364583333</v>
      </c>
      <c r="P51" s="2">
        <v>0.2</v>
      </c>
      <c r="Q51" s="2">
        <f>M51*O51</f>
        <v>3556.5224826388885</v>
      </c>
      <c r="R51" s="2">
        <f>Q51/550</f>
        <v>6.4664045138888886</v>
      </c>
      <c r="S51" s="2">
        <f>Q51*0.001356</f>
        <v>4.8226444864583327</v>
      </c>
      <c r="T51" s="2">
        <f>R51</f>
        <v>6.4664045138888886</v>
      </c>
      <c r="U51" s="2">
        <f>C51+D51*LOG10(T51)+E51*(LOG10(T51))^2</f>
        <v>3.5337249351310831</v>
      </c>
      <c r="V51" s="2">
        <f>10^U51</f>
        <v>3417.6291489999894</v>
      </c>
      <c r="W51" s="3" t="s">
        <v>69</v>
      </c>
      <c r="X51" s="2" t="s">
        <v>70</v>
      </c>
      <c r="Y51" s="2">
        <v>1</v>
      </c>
      <c r="Z51" s="3">
        <v>0</v>
      </c>
      <c r="AA51" s="2">
        <v>0</v>
      </c>
      <c r="AB51" s="2">
        <v>0</v>
      </c>
      <c r="AC51" s="2">
        <v>0</v>
      </c>
      <c r="AD51" s="2">
        <v>0</v>
      </c>
      <c r="AE51" s="2">
        <v>1</v>
      </c>
      <c r="AF51" s="5">
        <v>1.89</v>
      </c>
      <c r="AG51" s="5">
        <v>1.35</v>
      </c>
      <c r="AH51" s="3">
        <v>2</v>
      </c>
      <c r="AI51" s="2">
        <f>AF51+AG51*AE51*Y51</f>
        <v>3.24</v>
      </c>
      <c r="AJ51" s="38">
        <f>AI51*V51</f>
        <v>11073.118442759966</v>
      </c>
      <c r="AK51" s="19"/>
      <c r="AL51" s="73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</row>
    <row r="52" spans="1:72" x14ac:dyDescent="0.2">
      <c r="A52" s="2" t="s">
        <v>41</v>
      </c>
      <c r="B52" s="3" t="s">
        <v>58</v>
      </c>
      <c r="C52" s="5">
        <v>3.3892000000000002</v>
      </c>
      <c r="D52" s="5">
        <v>5.3600000000000002E-2</v>
      </c>
      <c r="E52" s="5">
        <v>0.15379999999999999</v>
      </c>
      <c r="F52" s="3">
        <f>0*144</f>
        <v>0</v>
      </c>
      <c r="G52" s="3"/>
      <c r="H52" s="4">
        <v>43.668999999999997</v>
      </c>
      <c r="I52" s="3">
        <v>10</v>
      </c>
      <c r="J52" s="4">
        <v>32.17</v>
      </c>
      <c r="K52" s="4">
        <v>32.17</v>
      </c>
      <c r="L52" s="3">
        <v>0.45</v>
      </c>
      <c r="M52" s="2">
        <f>(F52/H52+I52*J52/K52+P52)/L52</f>
        <v>22.666666666666664</v>
      </c>
      <c r="N52" s="7">
        <f>'ChemCAD Reference'!D12*2.2</f>
        <v>346284.4</v>
      </c>
      <c r="O52" s="2">
        <f>N52/3600</f>
        <v>96.190111111111122</v>
      </c>
      <c r="P52" s="2">
        <v>0.2</v>
      </c>
      <c r="Q52" s="2">
        <f>M52*O52</f>
        <v>2180.309185185185</v>
      </c>
      <c r="R52" s="2">
        <f>Q52/550</f>
        <v>3.964198518518518</v>
      </c>
      <c r="S52" s="2">
        <f>Q52*0.001356</f>
        <v>2.9564992551111109</v>
      </c>
      <c r="T52" s="2">
        <f>R52</f>
        <v>3.964198518518518</v>
      </c>
      <c r="U52" s="2">
        <f>C52+D52*LOG10(T52)+E52*(LOG10(T52))^2</f>
        <v>3.4762892121618476</v>
      </c>
      <c r="V52" s="2">
        <f>10^U52</f>
        <v>2994.2579558294456</v>
      </c>
      <c r="W52" s="3" t="s">
        <v>69</v>
      </c>
      <c r="X52" s="2" t="s">
        <v>70</v>
      </c>
      <c r="Y52" s="2">
        <v>1</v>
      </c>
      <c r="Z52" s="3">
        <v>0</v>
      </c>
      <c r="AA52" s="2">
        <v>0</v>
      </c>
      <c r="AB52" s="2">
        <v>0</v>
      </c>
      <c r="AC52" s="2">
        <v>0</v>
      </c>
      <c r="AD52" s="2">
        <v>0</v>
      </c>
      <c r="AE52" s="2">
        <v>1</v>
      </c>
      <c r="AF52" s="5">
        <v>1.89</v>
      </c>
      <c r="AG52" s="5">
        <v>1.35</v>
      </c>
      <c r="AH52" s="3">
        <v>2</v>
      </c>
      <c r="AI52" s="2">
        <f>AF52+AG52*AE52*Y52</f>
        <v>3.24</v>
      </c>
      <c r="AJ52" s="38">
        <f>AI52*V52</f>
        <v>9701.3957768874043</v>
      </c>
      <c r="AK52" s="19"/>
      <c r="AL52" s="73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</row>
    <row r="53" spans="1:72" x14ac:dyDescent="0.2">
      <c r="AK53" s="50">
        <f>AJ41+AJ44+AJ47+AJ48+AJ51+AJ52+AJ55</f>
        <v>2131167.159182881</v>
      </c>
      <c r="AL53" s="73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</row>
    <row r="54" spans="1:72" s="17" customFormat="1" x14ac:dyDescent="0.2">
      <c r="A54" s="16" t="s">
        <v>32</v>
      </c>
      <c r="B54" s="16" t="s">
        <v>45</v>
      </c>
      <c r="C54" s="16" t="s">
        <v>1</v>
      </c>
      <c r="D54" s="16" t="s">
        <v>3</v>
      </c>
      <c r="E54" s="16" t="s">
        <v>4</v>
      </c>
      <c r="F54" s="16" t="s">
        <v>34</v>
      </c>
      <c r="G54" s="16" t="s">
        <v>33</v>
      </c>
      <c r="H54" s="16" t="s">
        <v>54</v>
      </c>
      <c r="I54" s="16" t="s">
        <v>55</v>
      </c>
      <c r="J54" s="16" t="s">
        <v>36</v>
      </c>
      <c r="K54" s="16" t="s">
        <v>37</v>
      </c>
      <c r="L54" s="16" t="s">
        <v>38</v>
      </c>
      <c r="M54" s="16"/>
      <c r="N54" s="16"/>
      <c r="O54" s="16"/>
      <c r="P54" s="16"/>
      <c r="Q54" s="16"/>
      <c r="R54" s="16"/>
      <c r="S54" s="16"/>
      <c r="T54" s="16" t="s">
        <v>5</v>
      </c>
      <c r="U54" s="16" t="s">
        <v>6</v>
      </c>
      <c r="V54" s="16" t="s">
        <v>7</v>
      </c>
      <c r="W54" s="16" t="s">
        <v>10</v>
      </c>
      <c r="X54" s="16" t="s">
        <v>8</v>
      </c>
      <c r="Y54" s="16" t="s">
        <v>9</v>
      </c>
      <c r="Z54" s="16" t="s">
        <v>11</v>
      </c>
      <c r="AA54" s="16" t="s">
        <v>12</v>
      </c>
      <c r="AB54" s="16" t="s">
        <v>13</v>
      </c>
      <c r="AC54" s="16" t="s">
        <v>14</v>
      </c>
      <c r="AD54" s="16" t="s">
        <v>15</v>
      </c>
      <c r="AE54" s="16" t="s">
        <v>16</v>
      </c>
      <c r="AF54" s="16" t="s">
        <v>17</v>
      </c>
      <c r="AG54" s="16" t="s">
        <v>18</v>
      </c>
      <c r="AH54" s="16" t="s">
        <v>20</v>
      </c>
      <c r="AI54" s="16" t="s">
        <v>21</v>
      </c>
      <c r="AJ54" s="27" t="s">
        <v>22</v>
      </c>
      <c r="AK54" s="19"/>
      <c r="AL54" s="73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"/>
    </row>
    <row r="55" spans="1:72" x14ac:dyDescent="0.2">
      <c r="A55" s="2" t="s">
        <v>39</v>
      </c>
      <c r="B55" s="3" t="s">
        <v>56</v>
      </c>
      <c r="C55" s="5">
        <v>3.5565000000000002</v>
      </c>
      <c r="D55" s="5">
        <v>0.37759999999999999</v>
      </c>
      <c r="E55" s="5">
        <v>9.0499999999999997E-2</v>
      </c>
      <c r="F55" s="3">
        <f>5*60</f>
        <v>300</v>
      </c>
      <c r="G55" s="2">
        <v>0.5</v>
      </c>
      <c r="H55" s="4">
        <f>N51</f>
        <v>564859.453125</v>
      </c>
      <c r="I55" s="2">
        <f>H55/3600</f>
        <v>156.90540364583333</v>
      </c>
      <c r="J55" s="4">
        <f>H51</f>
        <v>42.406999999999996</v>
      </c>
      <c r="K55" s="2">
        <f>I55*G55*F55/J55</f>
        <v>554.99824431992363</v>
      </c>
      <c r="L55" s="2">
        <f>K55*0.02832</f>
        <v>15.717550279140237</v>
      </c>
      <c r="M55" s="2"/>
      <c r="N55" s="2"/>
      <c r="O55" s="2"/>
      <c r="P55" s="2"/>
      <c r="Q55" s="2"/>
      <c r="R55" s="2"/>
      <c r="S55" s="2"/>
      <c r="T55" s="2">
        <f>L55</f>
        <v>15.717550279140237</v>
      </c>
      <c r="U55" s="2">
        <f>C55+D55*LOG10(T55)+E55*(LOG10(T55))^2</f>
        <v>4.1377908964818344</v>
      </c>
      <c r="V55" s="2">
        <f>10^U55</f>
        <v>13733.805623866385</v>
      </c>
      <c r="W55" s="3" t="s">
        <v>69</v>
      </c>
      <c r="X55" s="2" t="s">
        <v>70</v>
      </c>
      <c r="Y55" s="2">
        <v>1</v>
      </c>
      <c r="Z55" s="3">
        <v>0</v>
      </c>
      <c r="AA55" s="2">
        <v>0</v>
      </c>
      <c r="AB55" s="2">
        <v>0</v>
      </c>
      <c r="AC55" s="2">
        <v>0</v>
      </c>
      <c r="AD55" s="2">
        <v>0</v>
      </c>
      <c r="AE55" s="2">
        <v>1</v>
      </c>
      <c r="AF55" s="5">
        <v>2.25</v>
      </c>
      <c r="AG55" s="5">
        <v>1.82</v>
      </c>
      <c r="AH55" s="3">
        <v>1</v>
      </c>
      <c r="AI55" s="2">
        <f>AF55+AG55*AE55*Y55</f>
        <v>4.07</v>
      </c>
      <c r="AJ55" s="38">
        <f>AI55*V55</f>
        <v>55896.58888913619</v>
      </c>
      <c r="AK55" s="19"/>
      <c r="AL55" s="73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</row>
    <row r="56" spans="1:72" x14ac:dyDescent="0.2">
      <c r="AK56" s="19"/>
      <c r="AL56" s="73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</row>
    <row r="57" spans="1:72" x14ac:dyDescent="0.2">
      <c r="AK57" s="19"/>
      <c r="AL57" s="73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</row>
    <row r="58" spans="1:72" x14ac:dyDescent="0.2">
      <c r="AK58" s="19"/>
      <c r="AL58" s="73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</row>
    <row r="59" spans="1:72" s="17" customFormat="1" x14ac:dyDescent="0.2">
      <c r="A59" s="22" t="s">
        <v>188</v>
      </c>
      <c r="B59" s="22" t="s">
        <v>45</v>
      </c>
      <c r="C59" s="22" t="s">
        <v>1</v>
      </c>
      <c r="D59" s="22" t="s">
        <v>3</v>
      </c>
      <c r="E59" s="22" t="s">
        <v>4</v>
      </c>
      <c r="F59" s="22" t="s">
        <v>24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 t="s">
        <v>5</v>
      </c>
      <c r="U59" s="22" t="s">
        <v>6</v>
      </c>
      <c r="V59" s="22" t="s">
        <v>7</v>
      </c>
      <c r="W59" s="22" t="s">
        <v>10</v>
      </c>
      <c r="X59" s="22" t="s">
        <v>8</v>
      </c>
      <c r="Y59" s="22" t="s">
        <v>9</v>
      </c>
      <c r="Z59" s="22" t="s">
        <v>11</v>
      </c>
      <c r="AA59" s="22" t="s">
        <v>12</v>
      </c>
      <c r="AB59" s="22" t="s">
        <v>13</v>
      </c>
      <c r="AC59" s="22" t="s">
        <v>14</v>
      </c>
      <c r="AD59" s="22" t="s">
        <v>15</v>
      </c>
      <c r="AE59" s="22" t="s">
        <v>16</v>
      </c>
      <c r="AF59" s="22" t="s">
        <v>17</v>
      </c>
      <c r="AG59" s="22" t="s">
        <v>18</v>
      </c>
      <c r="AH59" s="22" t="s">
        <v>20</v>
      </c>
      <c r="AI59" s="22" t="s">
        <v>21</v>
      </c>
      <c r="AJ59" s="29" t="s">
        <v>22</v>
      </c>
      <c r="AK59" s="19"/>
      <c r="AL59" s="73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"/>
    </row>
    <row r="60" spans="1:72" s="4" customFormat="1" x14ac:dyDescent="0.2">
      <c r="A60" s="4" t="s">
        <v>79</v>
      </c>
      <c r="B60" s="4" t="s">
        <v>81</v>
      </c>
      <c r="C60" s="4">
        <v>3.5565000000000002</v>
      </c>
      <c r="D60" s="4">
        <v>0.44850000000000001</v>
      </c>
      <c r="E60" s="4">
        <v>9.0499999999999997E-2</v>
      </c>
      <c r="F60" s="7">
        <f>'ChemCAD Reference'!H17*NPV!G21</f>
        <v>332.71812499999999</v>
      </c>
      <c r="T60" s="2">
        <f>F60</f>
        <v>332.71812499999999</v>
      </c>
      <c r="U60" s="2">
        <f>C60+D60*LOG10(T60)+E60*(LOG10(T60))^2</f>
        <v>5.2633099973987543</v>
      </c>
      <c r="V60" s="2">
        <f>10^U60</f>
        <v>183362.27868542541</v>
      </c>
      <c r="W60" s="3" t="s">
        <v>69</v>
      </c>
      <c r="X60" s="2" t="s">
        <v>70</v>
      </c>
      <c r="Y60" s="2">
        <v>1</v>
      </c>
      <c r="Z60" s="3">
        <v>0</v>
      </c>
      <c r="AA60" s="2">
        <v>0</v>
      </c>
      <c r="AB60" s="2">
        <v>0</v>
      </c>
      <c r="AC60" s="2">
        <v>0</v>
      </c>
      <c r="AD60" s="2">
        <v>0</v>
      </c>
      <c r="AE60" s="2">
        <v>1</v>
      </c>
      <c r="AF60" s="5">
        <v>1.49</v>
      </c>
      <c r="AG60" s="5">
        <v>1.52</v>
      </c>
      <c r="AH60" s="3">
        <v>1</v>
      </c>
      <c r="AI60" s="2">
        <f>AF60+AG60*AE60*Y60</f>
        <v>3.01</v>
      </c>
      <c r="AJ60" s="38">
        <f>AI60*V60</f>
        <v>551920.45884313039</v>
      </c>
      <c r="AK60" s="19"/>
      <c r="AL60" s="73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30"/>
    </row>
    <row r="61" spans="1:72" s="19" customFormat="1" x14ac:dyDescent="0.2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3"/>
      <c r="U61" s="43"/>
      <c r="V61" s="43"/>
      <c r="W61" s="46"/>
      <c r="X61" s="43"/>
      <c r="Y61" s="43"/>
      <c r="Z61" s="46"/>
      <c r="AA61" s="43"/>
      <c r="AB61" s="43"/>
      <c r="AC61" s="43"/>
      <c r="AD61" s="43"/>
      <c r="AE61" s="43"/>
      <c r="AF61" s="47"/>
      <c r="AG61" s="47"/>
      <c r="AH61" s="46"/>
      <c r="AI61" s="43"/>
      <c r="AJ61" s="48"/>
      <c r="AK61" s="4" t="s">
        <v>355</v>
      </c>
      <c r="AL61" s="66">
        <v>68000</v>
      </c>
      <c r="AM61" s="19">
        <v>68000</v>
      </c>
    </row>
    <row r="62" spans="1:72" s="17" customFormat="1" x14ac:dyDescent="0.2">
      <c r="A62" s="22" t="s">
        <v>191</v>
      </c>
      <c r="B62" s="22" t="s">
        <v>45</v>
      </c>
      <c r="C62" s="22" t="s">
        <v>1</v>
      </c>
      <c r="D62" s="22" t="s">
        <v>3</v>
      </c>
      <c r="E62" s="22" t="s">
        <v>4</v>
      </c>
      <c r="F62" s="22" t="s">
        <v>175</v>
      </c>
      <c r="G62" s="22" t="s">
        <v>176</v>
      </c>
      <c r="H62" s="22" t="s">
        <v>180</v>
      </c>
      <c r="I62" s="22" t="s">
        <v>179</v>
      </c>
      <c r="J62" s="22" t="s">
        <v>178</v>
      </c>
      <c r="K62" s="22" t="s">
        <v>192</v>
      </c>
      <c r="L62" s="22" t="s">
        <v>181</v>
      </c>
      <c r="M62" s="22" t="s">
        <v>170</v>
      </c>
      <c r="N62" s="22" t="s">
        <v>185</v>
      </c>
      <c r="O62" s="22" t="s">
        <v>173</v>
      </c>
      <c r="P62" s="22"/>
      <c r="Q62" s="22"/>
      <c r="R62" s="22"/>
      <c r="S62" s="22"/>
      <c r="T62" s="22" t="s">
        <v>5</v>
      </c>
      <c r="U62" s="22" t="s">
        <v>6</v>
      </c>
      <c r="V62" s="22" t="s">
        <v>7</v>
      </c>
      <c r="W62" s="22" t="s">
        <v>10</v>
      </c>
      <c r="X62" s="22" t="s">
        <v>8</v>
      </c>
      <c r="Y62" s="22" t="s">
        <v>9</v>
      </c>
      <c r="Z62" s="22" t="s">
        <v>11</v>
      </c>
      <c r="AA62" s="22" t="s">
        <v>12</v>
      </c>
      <c r="AB62" s="22" t="s">
        <v>13</v>
      </c>
      <c r="AC62" s="22" t="s">
        <v>14</v>
      </c>
      <c r="AD62" s="22" t="s">
        <v>15</v>
      </c>
      <c r="AE62" s="22" t="s">
        <v>16</v>
      </c>
      <c r="AF62" s="22" t="s">
        <v>17</v>
      </c>
      <c r="AG62" s="22" t="s">
        <v>18</v>
      </c>
      <c r="AH62" s="22" t="s">
        <v>20</v>
      </c>
      <c r="AI62" s="22" t="s">
        <v>21</v>
      </c>
      <c r="AJ62" s="29" t="s">
        <v>22</v>
      </c>
      <c r="AK62" s="4" t="s">
        <v>194</v>
      </c>
      <c r="AL62" s="66">
        <v>85000</v>
      </c>
      <c r="AM62" s="19">
        <v>85000</v>
      </c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"/>
    </row>
    <row r="63" spans="1:72" s="2" customFormat="1" x14ac:dyDescent="0.2">
      <c r="A63" s="2" t="s">
        <v>79</v>
      </c>
      <c r="B63" s="2" t="s">
        <v>81</v>
      </c>
      <c r="C63" s="4">
        <v>3.5565000000000002</v>
      </c>
      <c r="D63" s="4">
        <v>0.44850000000000001</v>
      </c>
      <c r="E63" s="4">
        <v>9.0499999999999997E-2</v>
      </c>
      <c r="F63" s="7">
        <v>2239</v>
      </c>
      <c r="G63" s="2">
        <f>'ChemCAD Reference'!M3</f>
        <v>0.29871839284896851</v>
      </c>
      <c r="H63" s="2">
        <f>'ChemCAD Reference'!M4*0.001</f>
        <v>3.3084131777286529E-5</v>
      </c>
      <c r="I63" s="2">
        <v>9.81</v>
      </c>
      <c r="J63" s="2">
        <v>5.0000000000000001E-4</v>
      </c>
      <c r="K63" s="2">
        <f>(I63*(F63-G63)*J63^2)/(150*H63)*(0.45^3/(1-0.45))*30</f>
        <v>5.4990829331222733</v>
      </c>
      <c r="L63" s="2">
        <f>'ChemCAD Reference'!M5/3600</f>
        <v>85.109149305555562</v>
      </c>
      <c r="M63" s="2">
        <f>L63/K63</f>
        <v>15.476971404254169</v>
      </c>
      <c r="N63" s="2">
        <v>10</v>
      </c>
      <c r="O63" s="2">
        <f>N63*M63</f>
        <v>154.76971404254169</v>
      </c>
      <c r="T63" s="2">
        <f>O63</f>
        <v>154.76971404254169</v>
      </c>
      <c r="U63" s="2">
        <f>C63+D63*LOG10(T63)+E63*(LOG10(T63))^2</f>
        <v>4.9724967467161321</v>
      </c>
      <c r="V63" s="2">
        <f>10^U63</f>
        <v>93863.500536576423</v>
      </c>
      <c r="W63" s="3" t="s">
        <v>69</v>
      </c>
      <c r="X63" s="2" t="s">
        <v>70</v>
      </c>
      <c r="Y63" s="2">
        <v>1</v>
      </c>
      <c r="Z63" s="3">
        <v>0</v>
      </c>
      <c r="AA63" s="2">
        <v>0</v>
      </c>
      <c r="AB63" s="2">
        <v>0</v>
      </c>
      <c r="AC63" s="2">
        <v>0</v>
      </c>
      <c r="AD63" s="2">
        <v>0</v>
      </c>
      <c r="AE63" s="2">
        <v>1</v>
      </c>
      <c r="AF63" s="5">
        <v>1.49</v>
      </c>
      <c r="AG63" s="5">
        <v>1.52</v>
      </c>
      <c r="AH63" s="3">
        <v>1</v>
      </c>
      <c r="AI63" s="2">
        <f>AF63+AG63*AE63*Y63</f>
        <v>3.01</v>
      </c>
      <c r="AJ63" s="38">
        <f>AI63*V63</f>
        <v>282529.13661509502</v>
      </c>
      <c r="AK63" s="4" t="s">
        <v>75</v>
      </c>
      <c r="AL63" s="66">
        <v>12000</v>
      </c>
      <c r="AM63" s="19">
        <v>120000</v>
      </c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30"/>
    </row>
    <row r="64" spans="1:72" s="2" customFormat="1" x14ac:dyDescent="0.2">
      <c r="C64" s="4"/>
      <c r="D64" s="4"/>
      <c r="E64" s="4"/>
      <c r="F64" s="4"/>
      <c r="W64" s="3"/>
      <c r="Z64" s="3"/>
      <c r="AF64" s="5"/>
      <c r="AG64" s="5"/>
      <c r="AH64" s="3"/>
      <c r="AJ64" s="38"/>
      <c r="AK64" s="19"/>
      <c r="AL64" s="73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30"/>
    </row>
    <row r="65" spans="1:72" s="17" customFormat="1" x14ac:dyDescent="0.2">
      <c r="A65" s="22" t="s">
        <v>190</v>
      </c>
      <c r="B65" s="22" t="s">
        <v>45</v>
      </c>
      <c r="C65" s="22" t="s">
        <v>1</v>
      </c>
      <c r="D65" s="22" t="s">
        <v>3</v>
      </c>
      <c r="E65" s="22" t="s">
        <v>4</v>
      </c>
      <c r="F65" s="22" t="s">
        <v>175</v>
      </c>
      <c r="G65" s="22" t="s">
        <v>176</v>
      </c>
      <c r="H65" s="22" t="s">
        <v>180</v>
      </c>
      <c r="I65" s="22" t="s">
        <v>179</v>
      </c>
      <c r="J65" s="22" t="s">
        <v>178</v>
      </c>
      <c r="K65" s="22" t="s">
        <v>177</v>
      </c>
      <c r="L65" s="22" t="s">
        <v>181</v>
      </c>
      <c r="M65" s="22" t="s">
        <v>170</v>
      </c>
      <c r="N65" s="22" t="s">
        <v>185</v>
      </c>
      <c r="O65" s="22" t="s">
        <v>173</v>
      </c>
      <c r="P65" s="22"/>
      <c r="Q65" s="22"/>
      <c r="R65" s="22"/>
      <c r="S65" s="22"/>
      <c r="T65" s="22" t="s">
        <v>5</v>
      </c>
      <c r="U65" s="22" t="s">
        <v>6</v>
      </c>
      <c r="V65" s="22" t="s">
        <v>7</v>
      </c>
      <c r="W65" s="22" t="s">
        <v>10</v>
      </c>
      <c r="X65" s="22" t="s">
        <v>8</v>
      </c>
      <c r="Y65" s="22" t="s">
        <v>9</v>
      </c>
      <c r="Z65" s="22" t="s">
        <v>11</v>
      </c>
      <c r="AA65" s="22" t="s">
        <v>12</v>
      </c>
      <c r="AB65" s="22" t="s">
        <v>13</v>
      </c>
      <c r="AC65" s="22" t="s">
        <v>14</v>
      </c>
      <c r="AD65" s="22" t="s">
        <v>15</v>
      </c>
      <c r="AE65" s="22" t="s">
        <v>16</v>
      </c>
      <c r="AF65" s="22" t="s">
        <v>17</v>
      </c>
      <c r="AG65" s="22" t="s">
        <v>18</v>
      </c>
      <c r="AH65" s="22" t="s">
        <v>20</v>
      </c>
      <c r="AI65" s="22" t="s">
        <v>21</v>
      </c>
      <c r="AJ65" s="29" t="s">
        <v>22</v>
      </c>
      <c r="AK65" s="19"/>
      <c r="AL65" s="73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"/>
    </row>
    <row r="66" spans="1:72" s="2" customFormat="1" x14ac:dyDescent="0.2">
      <c r="A66" s="2" t="s">
        <v>79</v>
      </c>
      <c r="B66" s="2" t="s">
        <v>81</v>
      </c>
      <c r="C66" s="4">
        <v>3.5565000000000002</v>
      </c>
      <c r="D66" s="4">
        <v>0.44850000000000001</v>
      </c>
      <c r="E66" s="4">
        <v>9.0499999999999997E-2</v>
      </c>
      <c r="F66" s="7">
        <v>2239</v>
      </c>
      <c r="G66" s="2">
        <f>'ChemCAD Reference'!M3</f>
        <v>0.29871839284896851</v>
      </c>
      <c r="H66" s="2">
        <f>'ChemCAD Reference'!M4*0.001</f>
        <v>3.3084131777286529E-5</v>
      </c>
      <c r="I66" s="2">
        <v>9.81</v>
      </c>
      <c r="J66" s="2">
        <v>5.0000000000000001E-4</v>
      </c>
      <c r="K66" s="2">
        <f>((F66-G66)*I66*J66^2)/(18*H66)</f>
        <v>9.2196177814883402</v>
      </c>
      <c r="L66" s="2">
        <f>'ChemCAD Reference'!M5/3600</f>
        <v>85.109149305555562</v>
      </c>
      <c r="M66" s="2">
        <f>L66/K66</f>
        <v>9.2313099439374184</v>
      </c>
      <c r="N66" s="2">
        <v>15</v>
      </c>
      <c r="O66" s="2">
        <f>N66*M66</f>
        <v>138.46964915906128</v>
      </c>
      <c r="T66" s="2">
        <f>O66</f>
        <v>138.46964915906128</v>
      </c>
      <c r="U66" s="2">
        <f>C66+D66*LOG10(T66)+E66*(LOG10(T66))^2</f>
        <v>4.9318761880971449</v>
      </c>
      <c r="V66" s="2">
        <f>10^U66</f>
        <v>85482.297884730448</v>
      </c>
      <c r="W66" s="3" t="s">
        <v>69</v>
      </c>
      <c r="X66" s="2" t="s">
        <v>70</v>
      </c>
      <c r="Y66" s="2">
        <v>1</v>
      </c>
      <c r="Z66" s="3">
        <v>0</v>
      </c>
      <c r="AA66" s="2">
        <v>0</v>
      </c>
      <c r="AB66" s="2">
        <v>0</v>
      </c>
      <c r="AC66" s="2">
        <v>0</v>
      </c>
      <c r="AD66" s="2">
        <v>0</v>
      </c>
      <c r="AE66" s="2">
        <v>1</v>
      </c>
      <c r="AF66" s="5">
        <v>1.49</v>
      </c>
      <c r="AG66" s="5">
        <v>1.52</v>
      </c>
      <c r="AH66" s="3">
        <v>1</v>
      </c>
      <c r="AI66" s="2">
        <f>AF66+AG66*AE66*Y66</f>
        <v>3.01</v>
      </c>
      <c r="AJ66" s="38">
        <f>AI66*V66</f>
        <v>257301.71663303862</v>
      </c>
      <c r="AK66" s="19"/>
      <c r="AL66" s="73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30"/>
    </row>
    <row r="67" spans="1:72" s="15" customFormat="1" x14ac:dyDescent="0.2">
      <c r="A67" s="43"/>
      <c r="B67" s="43"/>
      <c r="C67" s="45"/>
      <c r="D67" s="45"/>
      <c r="E67" s="45"/>
      <c r="F67" s="51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6"/>
      <c r="X67" s="43"/>
      <c r="Y67" s="43"/>
      <c r="Z67" s="46"/>
      <c r="AA67" s="43"/>
      <c r="AB67" s="43"/>
      <c r="AC67" s="43"/>
      <c r="AD67" s="43"/>
      <c r="AE67" s="43"/>
      <c r="AF67" s="47"/>
      <c r="AG67" s="47"/>
      <c r="AH67" s="46"/>
      <c r="AI67" s="43"/>
      <c r="AJ67" s="48"/>
      <c r="AK67" s="19"/>
      <c r="AL67" s="73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</row>
    <row r="68" spans="1:72" s="17" customFormat="1" x14ac:dyDescent="0.2">
      <c r="A68" s="22" t="s">
        <v>189</v>
      </c>
      <c r="B68" s="22" t="s">
        <v>45</v>
      </c>
      <c r="C68" s="22" t="s">
        <v>1</v>
      </c>
      <c r="D68" s="22" t="s">
        <v>3</v>
      </c>
      <c r="E68" s="22" t="s">
        <v>4</v>
      </c>
      <c r="F68" s="22" t="s">
        <v>175</v>
      </c>
      <c r="G68" s="22" t="s">
        <v>176</v>
      </c>
      <c r="H68" s="22" t="s">
        <v>180</v>
      </c>
      <c r="I68" s="22" t="s">
        <v>179</v>
      </c>
      <c r="J68" s="22" t="s">
        <v>178</v>
      </c>
      <c r="K68" s="22" t="s">
        <v>177</v>
      </c>
      <c r="L68" s="22" t="s">
        <v>181</v>
      </c>
      <c r="M68" s="22" t="s">
        <v>170</v>
      </c>
      <c r="N68" s="22" t="s">
        <v>185</v>
      </c>
      <c r="O68" s="22" t="s">
        <v>173</v>
      </c>
      <c r="P68" s="22"/>
      <c r="Q68" s="22"/>
      <c r="R68" s="22"/>
      <c r="S68" s="22"/>
      <c r="T68" s="22" t="s">
        <v>5</v>
      </c>
      <c r="U68" s="22" t="s">
        <v>6</v>
      </c>
      <c r="V68" s="22" t="s">
        <v>7</v>
      </c>
      <c r="W68" s="22" t="s">
        <v>10</v>
      </c>
      <c r="X68" s="22" t="s">
        <v>8</v>
      </c>
      <c r="Y68" s="22" t="s">
        <v>9</v>
      </c>
      <c r="Z68" s="22" t="s">
        <v>11</v>
      </c>
      <c r="AA68" s="22" t="s">
        <v>12</v>
      </c>
      <c r="AB68" s="22" t="s">
        <v>13</v>
      </c>
      <c r="AC68" s="22" t="s">
        <v>14</v>
      </c>
      <c r="AD68" s="22" t="s">
        <v>15</v>
      </c>
      <c r="AE68" s="22" t="s">
        <v>16</v>
      </c>
      <c r="AF68" s="22" t="s">
        <v>17</v>
      </c>
      <c r="AG68" s="22" t="s">
        <v>18</v>
      </c>
      <c r="AH68" s="22" t="s">
        <v>20</v>
      </c>
      <c r="AI68" s="22" t="s">
        <v>21</v>
      </c>
      <c r="AJ68" s="29" t="s">
        <v>22</v>
      </c>
      <c r="AK68" s="19"/>
      <c r="AL68" s="73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"/>
    </row>
    <row r="69" spans="1:72" s="2" customFormat="1" x14ac:dyDescent="0.2">
      <c r="A69" s="2" t="s">
        <v>79</v>
      </c>
      <c r="B69" s="2" t="s">
        <v>81</v>
      </c>
      <c r="C69" s="4">
        <v>3.5565000000000002</v>
      </c>
      <c r="D69" s="4">
        <v>0.44850000000000001</v>
      </c>
      <c r="E69" s="4">
        <v>9.0499999999999997E-2</v>
      </c>
      <c r="F69" s="7">
        <v>2239</v>
      </c>
      <c r="G69" s="2">
        <f>'ChemCAD Reference'!K3</f>
        <v>2.3840477466583252</v>
      </c>
      <c r="H69" s="2">
        <f>'ChemCAD Reference'!K4*0.001</f>
        <v>9.9388537928462036E-6</v>
      </c>
      <c r="I69" s="2">
        <v>9.81</v>
      </c>
      <c r="J69" s="2">
        <v>5.0000000000000001E-4</v>
      </c>
      <c r="K69" s="2">
        <f>((F69-G69)*I69*J69^2)/(18*H69)</f>
        <v>30.661375028362226</v>
      </c>
      <c r="L69" s="2">
        <f>'ChemCAD Reference'!K5/3600</f>
        <v>11.457553168402777</v>
      </c>
      <c r="M69" s="2">
        <f>L69/K69</f>
        <v>0.37368034400950284</v>
      </c>
      <c r="N69" s="2">
        <v>30</v>
      </c>
      <c r="O69" s="2">
        <f>N69*M69</f>
        <v>11.210410320285085</v>
      </c>
      <c r="T69" s="2">
        <f>O69</f>
        <v>11.210410320285085</v>
      </c>
      <c r="U69" s="2">
        <f>C69+D69*LOG10(T69)+E69*(LOG10(T69))^2</f>
        <v>4.1269595774154784</v>
      </c>
      <c r="V69" s="2">
        <f>10^U69</f>
        <v>13395.52000891175</v>
      </c>
      <c r="W69" s="3" t="s">
        <v>69</v>
      </c>
      <c r="X69" s="2" t="s">
        <v>70</v>
      </c>
      <c r="Y69" s="2">
        <v>1</v>
      </c>
      <c r="Z69" s="3">
        <v>0</v>
      </c>
      <c r="AA69" s="2">
        <v>0</v>
      </c>
      <c r="AB69" s="2">
        <v>0</v>
      </c>
      <c r="AC69" s="2">
        <v>0</v>
      </c>
      <c r="AD69" s="2">
        <v>0</v>
      </c>
      <c r="AE69" s="2">
        <v>1</v>
      </c>
      <c r="AF69" s="5">
        <v>1.49</v>
      </c>
      <c r="AG69" s="5">
        <v>1.52</v>
      </c>
      <c r="AH69" s="3">
        <v>1</v>
      </c>
      <c r="AI69" s="2">
        <f>AF69+AG69*AE69*Y69</f>
        <v>3.01</v>
      </c>
      <c r="AJ69" s="38">
        <f>AI69*V69</f>
        <v>40320.515226824362</v>
      </c>
      <c r="AK69" s="19"/>
      <c r="AL69" s="73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30"/>
    </row>
    <row r="70" spans="1:72" x14ac:dyDescent="0.2">
      <c r="AK70" s="19"/>
      <c r="AL70" s="73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</row>
    <row r="71" spans="1:72" s="21" customFormat="1" x14ac:dyDescent="0.2">
      <c r="A71" s="22" t="s">
        <v>186</v>
      </c>
      <c r="B71" s="22" t="s">
        <v>45</v>
      </c>
      <c r="C71" s="22" t="s">
        <v>1</v>
      </c>
      <c r="D71" s="22" t="s">
        <v>3</v>
      </c>
      <c r="E71" s="22" t="s">
        <v>4</v>
      </c>
      <c r="F71" s="22" t="s">
        <v>123</v>
      </c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 t="s">
        <v>5</v>
      </c>
      <c r="U71" s="22" t="s">
        <v>6</v>
      </c>
      <c r="V71" s="22" t="s">
        <v>7</v>
      </c>
      <c r="W71" s="22" t="s">
        <v>10</v>
      </c>
      <c r="X71" s="22" t="s">
        <v>8</v>
      </c>
      <c r="Y71" s="22" t="s">
        <v>9</v>
      </c>
      <c r="Z71" s="22" t="s">
        <v>11</v>
      </c>
      <c r="AA71" s="22" t="s">
        <v>12</v>
      </c>
      <c r="AB71" s="22" t="s">
        <v>13</v>
      </c>
      <c r="AC71" s="22" t="s">
        <v>14</v>
      </c>
      <c r="AD71" s="22" t="s">
        <v>15</v>
      </c>
      <c r="AE71" s="22" t="s">
        <v>16</v>
      </c>
      <c r="AF71" s="22" t="s">
        <v>17</v>
      </c>
      <c r="AG71" s="22" t="s">
        <v>18</v>
      </c>
      <c r="AH71" s="22" t="s">
        <v>20</v>
      </c>
      <c r="AI71" s="22" t="s">
        <v>21</v>
      </c>
      <c r="AJ71" s="29" t="s">
        <v>22</v>
      </c>
      <c r="AK71" s="19"/>
      <c r="AL71" s="73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</row>
    <row r="72" spans="1:72" s="2" customFormat="1" x14ac:dyDescent="0.2">
      <c r="A72" s="2" t="s">
        <v>77</v>
      </c>
      <c r="B72" s="2" t="s">
        <v>122</v>
      </c>
      <c r="C72" s="2">
        <v>3.6297999999999999</v>
      </c>
      <c r="D72" s="2">
        <v>0.50090000000000001</v>
      </c>
      <c r="E72" s="2">
        <v>4.1000000000000002E-2</v>
      </c>
      <c r="F72" s="7">
        <f>L69</f>
        <v>11.457553168402777</v>
      </c>
      <c r="G72" s="2">
        <f>F72*0.5</f>
        <v>5.7287765842013885</v>
      </c>
      <c r="T72" s="2">
        <f>G72</f>
        <v>5.7287765842013885</v>
      </c>
      <c r="U72" s="2">
        <f>C72+D72*LOG10(T72)+E72*(LOG10(T72))^2</f>
        <v>4.0330741692080609</v>
      </c>
      <c r="V72" s="2">
        <f>10^U72</f>
        <v>10791.310014711995</v>
      </c>
      <c r="W72" s="3" t="s">
        <v>69</v>
      </c>
      <c r="X72" s="2" t="s">
        <v>70</v>
      </c>
      <c r="Y72" s="2">
        <v>1</v>
      </c>
      <c r="Z72" s="3">
        <v>0</v>
      </c>
      <c r="AA72" s="2">
        <v>0</v>
      </c>
      <c r="AB72" s="2">
        <v>0</v>
      </c>
      <c r="AC72" s="2">
        <v>0</v>
      </c>
      <c r="AD72" s="2">
        <v>0</v>
      </c>
      <c r="AE72" s="2">
        <v>1</v>
      </c>
      <c r="AF72" s="5">
        <v>0</v>
      </c>
      <c r="AG72" s="5">
        <v>0</v>
      </c>
      <c r="AH72" s="3">
        <v>3</v>
      </c>
      <c r="AI72" s="2">
        <v>2.86</v>
      </c>
      <c r="AJ72" s="38">
        <f>AI72*V72*AH72</f>
        <v>92589.439926228908</v>
      </c>
      <c r="AK72" s="19"/>
      <c r="AL72" s="73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30"/>
    </row>
    <row r="73" spans="1:72" x14ac:dyDescent="0.2">
      <c r="AK73" s="19"/>
      <c r="AL73" s="73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</row>
    <row r="74" spans="1:72" s="21" customFormat="1" x14ac:dyDescent="0.2">
      <c r="A74" s="22" t="s">
        <v>187</v>
      </c>
      <c r="B74" s="22" t="s">
        <v>45</v>
      </c>
      <c r="C74" s="22" t="s">
        <v>1</v>
      </c>
      <c r="D74" s="22" t="s">
        <v>3</v>
      </c>
      <c r="E74" s="22" t="s">
        <v>4</v>
      </c>
      <c r="F74" s="22" t="s">
        <v>123</v>
      </c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 t="s">
        <v>5</v>
      </c>
      <c r="U74" s="22" t="s">
        <v>6</v>
      </c>
      <c r="V74" s="22" t="s">
        <v>7</v>
      </c>
      <c r="W74" s="22" t="s">
        <v>10</v>
      </c>
      <c r="X74" s="22" t="s">
        <v>8</v>
      </c>
      <c r="Y74" s="22" t="s">
        <v>9</v>
      </c>
      <c r="Z74" s="22" t="s">
        <v>11</v>
      </c>
      <c r="AA74" s="22" t="s">
        <v>12</v>
      </c>
      <c r="AB74" s="22" t="s">
        <v>13</v>
      </c>
      <c r="AC74" s="22" t="s">
        <v>14</v>
      </c>
      <c r="AD74" s="22" t="s">
        <v>15</v>
      </c>
      <c r="AE74" s="22" t="s">
        <v>16</v>
      </c>
      <c r="AF74" s="22" t="s">
        <v>17</v>
      </c>
      <c r="AG74" s="22" t="s">
        <v>18</v>
      </c>
      <c r="AH74" s="22" t="s">
        <v>20</v>
      </c>
      <c r="AI74" s="22" t="s">
        <v>21</v>
      </c>
      <c r="AJ74" s="29" t="s">
        <v>22</v>
      </c>
      <c r="AK74" s="19"/>
      <c r="AL74" s="73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</row>
    <row r="75" spans="1:72" s="2" customFormat="1" x14ac:dyDescent="0.2">
      <c r="A75" s="2" t="s">
        <v>77</v>
      </c>
      <c r="B75" s="2" t="s">
        <v>122</v>
      </c>
      <c r="C75" s="2">
        <v>3.6297999999999999</v>
      </c>
      <c r="D75" s="2">
        <v>0.50090000000000001</v>
      </c>
      <c r="E75" s="2">
        <v>4.1000000000000002E-2</v>
      </c>
      <c r="F75" s="7">
        <f>L66</f>
        <v>85.109149305555562</v>
      </c>
      <c r="G75" s="2">
        <f>F75*0.5</f>
        <v>42.554574652777781</v>
      </c>
      <c r="T75" s="2">
        <f>G75</f>
        <v>42.554574652777781</v>
      </c>
      <c r="U75" s="2">
        <f>C75+D75*LOG10(T75)+E75*(LOG10(T75))^2</f>
        <v>4.554531280434956</v>
      </c>
      <c r="V75" s="2">
        <f>10^U75</f>
        <v>35853.477112297667</v>
      </c>
      <c r="W75" s="3" t="s">
        <v>69</v>
      </c>
      <c r="X75" s="2" t="s">
        <v>70</v>
      </c>
      <c r="Y75" s="2">
        <v>1</v>
      </c>
      <c r="Z75" s="3">
        <v>0</v>
      </c>
      <c r="AA75" s="2">
        <v>0</v>
      </c>
      <c r="AB75" s="2">
        <v>0</v>
      </c>
      <c r="AC75" s="2">
        <v>0</v>
      </c>
      <c r="AD75" s="2">
        <v>0</v>
      </c>
      <c r="AE75" s="2">
        <v>1</v>
      </c>
      <c r="AF75" s="5">
        <v>0</v>
      </c>
      <c r="AG75" s="5">
        <v>0</v>
      </c>
      <c r="AH75" s="3">
        <v>3</v>
      </c>
      <c r="AI75" s="2">
        <v>2.86</v>
      </c>
      <c r="AJ75" s="38">
        <f>AI75*V75*AH75</f>
        <v>307622.83362351399</v>
      </c>
      <c r="AK75" s="19"/>
      <c r="AL75" s="73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30"/>
    </row>
    <row r="76" spans="1:72" x14ac:dyDescent="0.2">
      <c r="AK76" s="49">
        <f>AJ60+AJ66+AJ72+AJ78+AJ69+AJ75+AJ63</f>
        <v>1655556.2501355931</v>
      </c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</row>
    <row r="77" spans="1:72" s="21" customFormat="1" x14ac:dyDescent="0.2">
      <c r="A77" s="20" t="s">
        <v>75</v>
      </c>
      <c r="B77" s="20" t="s">
        <v>45</v>
      </c>
      <c r="C77" s="20" t="s">
        <v>1</v>
      </c>
      <c r="D77" s="20" t="s">
        <v>3</v>
      </c>
      <c r="E77" s="20" t="s">
        <v>4</v>
      </c>
      <c r="F77" s="20" t="s">
        <v>78</v>
      </c>
      <c r="G77" s="20" t="s">
        <v>102</v>
      </c>
      <c r="H77" s="20" t="s">
        <v>96</v>
      </c>
      <c r="I77" s="20" t="s">
        <v>97</v>
      </c>
      <c r="J77" s="20" t="s">
        <v>98</v>
      </c>
      <c r="K77" s="20" t="s">
        <v>99</v>
      </c>
      <c r="L77" s="20" t="s">
        <v>100</v>
      </c>
      <c r="M77" s="20" t="s">
        <v>101</v>
      </c>
      <c r="N77" s="20" t="s">
        <v>23</v>
      </c>
      <c r="O77" s="20"/>
      <c r="P77" s="20"/>
      <c r="Q77" s="20"/>
      <c r="R77" s="20"/>
      <c r="S77" s="20"/>
      <c r="T77" s="20" t="s">
        <v>5</v>
      </c>
      <c r="U77" s="20" t="s">
        <v>6</v>
      </c>
      <c r="V77" s="20" t="s">
        <v>7</v>
      </c>
      <c r="W77" s="20" t="s">
        <v>10</v>
      </c>
      <c r="X77" s="20" t="s">
        <v>8</v>
      </c>
      <c r="Y77" s="20" t="s">
        <v>9</v>
      </c>
      <c r="Z77" s="20" t="s">
        <v>11</v>
      </c>
      <c r="AA77" s="20" t="s">
        <v>12</v>
      </c>
      <c r="AB77" s="20" t="s">
        <v>13</v>
      </c>
      <c r="AC77" s="20" t="s">
        <v>14</v>
      </c>
      <c r="AD77" s="20" t="s">
        <v>15</v>
      </c>
      <c r="AE77" s="20" t="s">
        <v>16</v>
      </c>
      <c r="AF77" s="20" t="s">
        <v>17</v>
      </c>
      <c r="AG77" s="20" t="s">
        <v>18</v>
      </c>
      <c r="AH77" s="20" t="s">
        <v>20</v>
      </c>
      <c r="AI77" s="20" t="s">
        <v>21</v>
      </c>
      <c r="AJ77" s="33" t="s">
        <v>22</v>
      </c>
      <c r="AK77" s="1"/>
      <c r="AL77" s="74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</row>
    <row r="78" spans="1:72" s="2" customFormat="1" x14ac:dyDescent="0.2">
      <c r="A78" s="2" t="s">
        <v>42</v>
      </c>
      <c r="B78" s="3" t="s">
        <v>56</v>
      </c>
      <c r="C78" s="2">
        <v>4.8305999999999996</v>
      </c>
      <c r="D78" s="2">
        <v>-0.85089999999999999</v>
      </c>
      <c r="E78" s="2">
        <v>0.31869999999999998</v>
      </c>
      <c r="F78" s="7">
        <v>164228</v>
      </c>
      <c r="G78" s="2">
        <f>F78*277.77778</f>
        <v>45618889.253839999</v>
      </c>
      <c r="H78" s="7">
        <v>410</v>
      </c>
      <c r="I78" s="7">
        <v>200</v>
      </c>
      <c r="J78" s="2">
        <v>30</v>
      </c>
      <c r="K78" s="3">
        <v>45</v>
      </c>
      <c r="L78" s="2">
        <f>ABS(((H78-K78)-(I78-J78))/LN((H78-K78)/(I78-J78)))</f>
        <v>255.20256053363335</v>
      </c>
      <c r="M78" s="3">
        <v>850</v>
      </c>
      <c r="N78" s="2">
        <f>G78/(L78*M78)</f>
        <v>210.30071705739317</v>
      </c>
      <c r="T78" s="2">
        <f>N78</f>
        <v>210.30071705739317</v>
      </c>
      <c r="U78" s="2">
        <f>C78+D78*LOG10(T78)+E78*(LOG10(T78))^2</f>
        <v>4.5736690700847102</v>
      </c>
      <c r="V78" s="2">
        <f>10^U78</f>
        <v>37468.738379258917</v>
      </c>
      <c r="W78" s="3" t="s">
        <v>69</v>
      </c>
      <c r="X78" s="2" t="s">
        <v>70</v>
      </c>
      <c r="Y78" s="2">
        <v>1</v>
      </c>
      <c r="Z78" s="3">
        <v>0</v>
      </c>
      <c r="AA78" s="2">
        <v>0</v>
      </c>
      <c r="AB78" s="2">
        <v>0</v>
      </c>
      <c r="AC78" s="2">
        <v>0</v>
      </c>
      <c r="AD78" s="2">
        <v>0</v>
      </c>
      <c r="AE78" s="2">
        <v>1</v>
      </c>
      <c r="AF78" s="2">
        <v>1.63</v>
      </c>
      <c r="AG78" s="2">
        <v>1.66</v>
      </c>
      <c r="AH78" s="3">
        <v>1</v>
      </c>
      <c r="AI78" s="2">
        <f>AF78+AG78*AE78*Y78</f>
        <v>3.29</v>
      </c>
      <c r="AJ78" s="38">
        <f>AI78*V78</f>
        <v>123272.14926776184</v>
      </c>
      <c r="AK78" s="1"/>
      <c r="AL78" s="74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30"/>
    </row>
    <row r="80" spans="1:72" x14ac:dyDescent="0.2">
      <c r="F80">
        <v>150</v>
      </c>
      <c r="G80">
        <v>300</v>
      </c>
      <c r="H80">
        <v>450</v>
      </c>
      <c r="I80">
        <v>600</v>
      </c>
    </row>
    <row r="83" spans="1:72" x14ac:dyDescent="0.2">
      <c r="A83" t="s">
        <v>159</v>
      </c>
      <c r="B83">
        <f>B86/(1.75*B90*B85^2*(1-B88)/(B87*B88^3))</f>
        <v>1.4179027179317203</v>
      </c>
      <c r="C83" t="s">
        <v>156</v>
      </c>
      <c r="D83" t="s">
        <v>170</v>
      </c>
      <c r="E83">
        <v>0.38</v>
      </c>
      <c r="F83" t="s">
        <v>172</v>
      </c>
      <c r="G83" t="s">
        <v>173</v>
      </c>
      <c r="H83">
        <f>B83*E83</f>
        <v>0.53880303281405373</v>
      </c>
      <c r="I83" t="s">
        <v>145</v>
      </c>
    </row>
    <row r="84" spans="1:72" x14ac:dyDescent="0.2">
      <c r="B84">
        <f>CONVERT(B83,"m","ft")</f>
        <v>4.6519118042379279</v>
      </c>
      <c r="C84" t="s">
        <v>166</v>
      </c>
      <c r="E84">
        <f>E86/E85</f>
        <v>4.0979567901234564</v>
      </c>
      <c r="F84" t="s">
        <v>171</v>
      </c>
    </row>
    <row r="85" spans="1:72" x14ac:dyDescent="0.2">
      <c r="A85" t="s">
        <v>160</v>
      </c>
      <c r="B85">
        <v>4</v>
      </c>
      <c r="C85" t="s">
        <v>153</v>
      </c>
      <c r="D85" t="s">
        <v>167</v>
      </c>
      <c r="E85">
        <v>225</v>
      </c>
      <c r="F85" t="s">
        <v>165</v>
      </c>
      <c r="J85" s="15"/>
    </row>
    <row r="86" spans="1:72" x14ac:dyDescent="0.2">
      <c r="A86" t="s">
        <v>154</v>
      </c>
      <c r="B86">
        <f>50700</f>
        <v>50700</v>
      </c>
      <c r="C86" t="s">
        <v>157</v>
      </c>
      <c r="D86" t="s">
        <v>168</v>
      </c>
      <c r="E86">
        <f>(3014934+272630+31781)/3600</f>
        <v>922.04027777777776</v>
      </c>
      <c r="F86" t="s">
        <v>169</v>
      </c>
    </row>
    <row r="87" spans="1:72" x14ac:dyDescent="0.2">
      <c r="A87" t="s">
        <v>161</v>
      </c>
      <c r="B87">
        <f>0.5*10^-3</f>
        <v>5.0000000000000001E-4</v>
      </c>
      <c r="C87" t="s">
        <v>156</v>
      </c>
    </row>
    <row r="88" spans="1:72" x14ac:dyDescent="0.2">
      <c r="A88" t="s">
        <v>162</v>
      </c>
      <c r="B88">
        <v>0.6</v>
      </c>
    </row>
    <row r="89" spans="1:72" x14ac:dyDescent="0.2">
      <c r="A89" t="s">
        <v>163</v>
      </c>
      <c r="B89">
        <f>4.39 * 10^-5</f>
        <v>4.3900000000000003E-5</v>
      </c>
      <c r="C89" t="s">
        <v>155</v>
      </c>
    </row>
    <row r="90" spans="1:72" x14ac:dyDescent="0.2">
      <c r="A90" t="s">
        <v>164</v>
      </c>
      <c r="B90">
        <v>0.3448</v>
      </c>
      <c r="C90" t="s">
        <v>158</v>
      </c>
      <c r="AK90" s="19"/>
      <c r="AL90" s="73"/>
    </row>
    <row r="91" spans="1:72" x14ac:dyDescent="0.2">
      <c r="AK91" s="4" t="s">
        <v>0</v>
      </c>
      <c r="AL91" s="66">
        <v>52000</v>
      </c>
      <c r="AM91" s="1">
        <v>52000</v>
      </c>
    </row>
    <row r="92" spans="1:72" x14ac:dyDescent="0.2">
      <c r="AK92" s="4" t="s">
        <v>42</v>
      </c>
      <c r="AL92" s="66">
        <v>1000000</v>
      </c>
      <c r="AM92" s="1">
        <v>1000000</v>
      </c>
    </row>
    <row r="93" spans="1:72" s="17" customFormat="1" x14ac:dyDescent="0.2">
      <c r="A93" s="16" t="s">
        <v>0</v>
      </c>
      <c r="B93" s="16" t="s">
        <v>45</v>
      </c>
      <c r="C93" s="16" t="s">
        <v>1</v>
      </c>
      <c r="D93" s="16" t="s">
        <v>3</v>
      </c>
      <c r="E93" s="16" t="s">
        <v>4</v>
      </c>
      <c r="F93" s="16" t="s">
        <v>80</v>
      </c>
      <c r="G93" s="16" t="s">
        <v>85</v>
      </c>
      <c r="H93" s="16" t="s">
        <v>30</v>
      </c>
      <c r="I93" s="16" t="s">
        <v>95</v>
      </c>
      <c r="J93" s="16" t="s">
        <v>24</v>
      </c>
      <c r="K93" s="16"/>
      <c r="L93" s="16"/>
      <c r="M93" s="16"/>
      <c r="N93" s="16"/>
      <c r="O93" s="16"/>
      <c r="P93" s="16"/>
      <c r="Q93" s="16"/>
      <c r="R93" s="16"/>
      <c r="S93" s="16"/>
      <c r="T93" s="16" t="s">
        <v>5</v>
      </c>
      <c r="U93" s="16" t="s">
        <v>6</v>
      </c>
      <c r="V93" s="16" t="s">
        <v>7</v>
      </c>
      <c r="W93" s="16" t="s">
        <v>10</v>
      </c>
      <c r="X93" s="16" t="s">
        <v>8</v>
      </c>
      <c r="Y93" s="16" t="s">
        <v>9</v>
      </c>
      <c r="Z93" s="16" t="s">
        <v>11</v>
      </c>
      <c r="AA93" s="16" t="s">
        <v>12</v>
      </c>
      <c r="AB93" s="16" t="s">
        <v>13</v>
      </c>
      <c r="AC93" s="16" t="s">
        <v>14</v>
      </c>
      <c r="AD93" s="16" t="s">
        <v>15</v>
      </c>
      <c r="AE93" s="16" t="s">
        <v>16</v>
      </c>
      <c r="AF93" s="16" t="s">
        <v>17</v>
      </c>
      <c r="AG93" s="16" t="s">
        <v>18</v>
      </c>
      <c r="AH93" s="16" t="s">
        <v>20</v>
      </c>
      <c r="AI93" s="16" t="s">
        <v>21</v>
      </c>
      <c r="AJ93" s="27" t="s">
        <v>22</v>
      </c>
      <c r="AK93" s="4" t="s">
        <v>43</v>
      </c>
      <c r="AL93" s="66">
        <v>3700000</v>
      </c>
      <c r="AM93" s="19">
        <v>3700000</v>
      </c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"/>
    </row>
    <row r="94" spans="1:72" x14ac:dyDescent="0.2">
      <c r="A94" s="2" t="s">
        <v>44</v>
      </c>
      <c r="B94" s="3" t="s">
        <v>25</v>
      </c>
      <c r="C94" s="2">
        <v>3.4973999999999998</v>
      </c>
      <c r="D94" s="2">
        <v>0.44850000000000001</v>
      </c>
      <c r="E94" s="2">
        <v>0.1074</v>
      </c>
      <c r="F94" s="7">
        <f>'ChemCAD Reference'!E3</f>
        <v>3.0480000972747803</v>
      </c>
      <c r="G94" s="7">
        <f>'ChemCAD Reference'!E4</f>
        <v>0.6096000075340271</v>
      </c>
      <c r="H94" s="2">
        <f>J97</f>
        <v>2</v>
      </c>
      <c r="I94" s="2">
        <f>G94*H94</f>
        <v>1.2192000150680542</v>
      </c>
      <c r="J94" s="2">
        <f>PI()/4*F94^2*I94</f>
        <v>8.8960004003902053</v>
      </c>
      <c r="K94" s="2"/>
      <c r="L94" s="2"/>
      <c r="M94" s="2"/>
      <c r="N94" s="2"/>
      <c r="O94" s="2"/>
      <c r="P94" s="2"/>
      <c r="Q94" s="2"/>
      <c r="R94" s="2"/>
      <c r="S94" s="2"/>
      <c r="T94" s="2">
        <f>J94</f>
        <v>8.8960004003902053</v>
      </c>
      <c r="U94" s="2">
        <f>C94+D94*LOG10(T94)+E94*(LOG10(T94))^2</f>
        <v>4.0198781242656656</v>
      </c>
      <c r="V94" s="2">
        <f>10^U94</f>
        <v>10468.347343810576</v>
      </c>
      <c r="W94" s="3" t="s">
        <v>69</v>
      </c>
      <c r="X94" s="2" t="s">
        <v>70</v>
      </c>
      <c r="Y94" s="2">
        <v>1</v>
      </c>
      <c r="Z94" s="3">
        <v>0</v>
      </c>
      <c r="AA94" s="2">
        <v>0</v>
      </c>
      <c r="AB94" s="2">
        <v>0</v>
      </c>
      <c r="AC94" s="2">
        <v>0</v>
      </c>
      <c r="AD94" s="2">
        <v>0</v>
      </c>
      <c r="AE94" s="2">
        <v>1</v>
      </c>
      <c r="AF94" s="2">
        <v>2.25</v>
      </c>
      <c r="AG94" s="2">
        <v>1.82</v>
      </c>
      <c r="AH94" s="3">
        <v>1</v>
      </c>
      <c r="AI94" s="2">
        <f>AF94+AG94*AE94*Y94</f>
        <v>4.07</v>
      </c>
      <c r="AJ94" s="38">
        <f>AI94*V94</f>
        <v>42606.173689309049</v>
      </c>
      <c r="AK94" s="4" t="s">
        <v>40</v>
      </c>
      <c r="AL94" s="66">
        <v>8200</v>
      </c>
      <c r="AM94" s="19">
        <v>8200</v>
      </c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</row>
    <row r="95" spans="1:72" x14ac:dyDescent="0.2">
      <c r="AK95" s="4" t="s">
        <v>354</v>
      </c>
      <c r="AL95" s="66">
        <v>9800</v>
      </c>
      <c r="AM95" s="19">
        <v>9800</v>
      </c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</row>
    <row r="96" spans="1:72" s="17" customFormat="1" x14ac:dyDescent="0.2">
      <c r="A96" s="16" t="s">
        <v>25</v>
      </c>
      <c r="B96" s="16" t="s">
        <v>45</v>
      </c>
      <c r="C96" s="16" t="s">
        <v>1</v>
      </c>
      <c r="D96" s="16" t="s">
        <v>3</v>
      </c>
      <c r="E96" s="16" t="s">
        <v>4</v>
      </c>
      <c r="F96" s="16" t="s">
        <v>27</v>
      </c>
      <c r="G96" s="16" t="s">
        <v>28</v>
      </c>
      <c r="H96" s="16" t="s">
        <v>29</v>
      </c>
      <c r="I96" s="16" t="s">
        <v>30</v>
      </c>
      <c r="J96" s="16" t="s">
        <v>30</v>
      </c>
      <c r="K96" s="16" t="s">
        <v>80</v>
      </c>
      <c r="L96" s="16" t="s">
        <v>23</v>
      </c>
      <c r="M96" s="16"/>
      <c r="N96" s="16"/>
      <c r="O96" s="16"/>
      <c r="P96" s="16"/>
      <c r="Q96" s="16"/>
      <c r="R96" s="16"/>
      <c r="S96" s="16"/>
      <c r="T96" s="16" t="s">
        <v>5</v>
      </c>
      <c r="U96" s="16" t="s">
        <v>6</v>
      </c>
      <c r="V96" s="16" t="s">
        <v>7</v>
      </c>
      <c r="W96" s="16" t="s">
        <v>10</v>
      </c>
      <c r="X96" s="16" t="s">
        <v>8</v>
      </c>
      <c r="Y96" s="16" t="s">
        <v>9</v>
      </c>
      <c r="Z96" s="16" t="s">
        <v>20</v>
      </c>
      <c r="AA96" s="16" t="s">
        <v>19</v>
      </c>
      <c r="AB96" s="16" t="s">
        <v>21</v>
      </c>
      <c r="AC96" s="16" t="s">
        <v>22</v>
      </c>
      <c r="AD96" s="18"/>
      <c r="AE96" s="18"/>
      <c r="AF96" s="18"/>
      <c r="AG96" s="18"/>
      <c r="AH96" s="18"/>
      <c r="AI96" s="18"/>
      <c r="AJ96" s="28" t="s">
        <v>22</v>
      </c>
      <c r="AK96" s="4" t="s">
        <v>353</v>
      </c>
      <c r="AL96" s="66">
        <v>25000</v>
      </c>
      <c r="AM96" s="19">
        <v>25000</v>
      </c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"/>
    </row>
    <row r="97" spans="1:72" x14ac:dyDescent="0.2">
      <c r="A97" s="2" t="s">
        <v>2</v>
      </c>
      <c r="B97" s="3" t="s">
        <v>57</v>
      </c>
      <c r="C97" s="2">
        <v>2.9948999999999999</v>
      </c>
      <c r="D97" s="2">
        <v>0.44650000000000001</v>
      </c>
      <c r="E97" s="2">
        <v>0.39610000000000001</v>
      </c>
      <c r="F97" s="7">
        <f>'ChemCAD Reference'!E13</f>
        <v>7.6128351502120495E-3</v>
      </c>
      <c r="G97" s="2">
        <f>(13.3-66.8*LOG10(F97))/100</f>
        <v>1.5481269876996135</v>
      </c>
      <c r="H97" s="7">
        <f>'ChemCAD Reference'!E1</f>
        <v>3</v>
      </c>
      <c r="I97" s="2">
        <f>H97/G97</f>
        <v>1.9378255297117115</v>
      </c>
      <c r="J97" s="2">
        <f>ROUNDUP(I97,0)</f>
        <v>2</v>
      </c>
      <c r="K97" s="2">
        <f>F94</f>
        <v>3.0480000972747803</v>
      </c>
      <c r="L97" s="2">
        <f>PI()/4*K97^2</f>
        <v>7.2965881647349233</v>
      </c>
      <c r="M97" s="2"/>
      <c r="N97" s="2"/>
      <c r="O97" s="2"/>
      <c r="P97" s="2"/>
      <c r="Q97" s="2"/>
      <c r="R97" s="2"/>
      <c r="S97" s="2"/>
      <c r="T97" s="2">
        <f>L97</f>
        <v>7.2965881647349233</v>
      </c>
      <c r="U97" s="2">
        <f>C97+D97*LOG10(T97)+E97*(LOG10(T97))^2</f>
        <v>3.6753679396887193</v>
      </c>
      <c r="V97" s="2">
        <f>10^U97</f>
        <v>4735.5228844979301</v>
      </c>
      <c r="W97" s="3" t="s">
        <v>69</v>
      </c>
      <c r="X97" s="2" t="s">
        <v>70</v>
      </c>
      <c r="Y97" s="2">
        <v>1</v>
      </c>
      <c r="Z97" s="4">
        <f>J97</f>
        <v>2</v>
      </c>
      <c r="AA97" s="2">
        <v>1</v>
      </c>
      <c r="AB97" s="2">
        <v>1</v>
      </c>
      <c r="AC97" s="2">
        <f>Z97*AA97*AB97*V97</f>
        <v>9471.0457689958603</v>
      </c>
      <c r="AD97" s="2"/>
      <c r="AE97" s="2"/>
      <c r="AF97" s="2"/>
      <c r="AG97" s="2"/>
      <c r="AH97" s="2"/>
      <c r="AI97" s="2"/>
      <c r="AJ97" s="38">
        <f>AC97</f>
        <v>9471.0457689958603</v>
      </c>
      <c r="AK97" s="19"/>
      <c r="AL97" s="73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</row>
    <row r="98" spans="1:72" x14ac:dyDescent="0.2">
      <c r="AK98" s="19"/>
      <c r="AL98" s="73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</row>
    <row r="99" spans="1:72" s="17" customFormat="1" x14ac:dyDescent="0.2">
      <c r="A99" s="16" t="s">
        <v>26</v>
      </c>
      <c r="B99" s="16" t="s">
        <v>45</v>
      </c>
      <c r="C99" s="16" t="s">
        <v>1</v>
      </c>
      <c r="D99" s="16" t="s">
        <v>3</v>
      </c>
      <c r="E99" s="16" t="s">
        <v>4</v>
      </c>
      <c r="F99" s="16" t="s">
        <v>78</v>
      </c>
      <c r="G99" s="16" t="s">
        <v>103</v>
      </c>
      <c r="H99" s="16" t="s">
        <v>96</v>
      </c>
      <c r="I99" s="16" t="s">
        <v>97</v>
      </c>
      <c r="J99" s="16" t="s">
        <v>98</v>
      </c>
      <c r="K99" s="16" t="s">
        <v>99</v>
      </c>
      <c r="L99" s="16" t="s">
        <v>100</v>
      </c>
      <c r="M99" s="16" t="s">
        <v>101</v>
      </c>
      <c r="N99" s="16" t="s">
        <v>23</v>
      </c>
      <c r="O99" s="16"/>
      <c r="P99" s="16"/>
      <c r="Q99" s="16"/>
      <c r="R99" s="16"/>
      <c r="S99" s="16"/>
      <c r="T99" s="16" t="s">
        <v>5</v>
      </c>
      <c r="U99" s="16" t="s">
        <v>6</v>
      </c>
      <c r="V99" s="16" t="s">
        <v>7</v>
      </c>
      <c r="W99" s="16" t="s">
        <v>10</v>
      </c>
      <c r="X99" s="16" t="s">
        <v>8</v>
      </c>
      <c r="Y99" s="16" t="s">
        <v>9</v>
      </c>
      <c r="Z99" s="16" t="s">
        <v>11</v>
      </c>
      <c r="AA99" s="16" t="s">
        <v>12</v>
      </c>
      <c r="AB99" s="16" t="s">
        <v>13</v>
      </c>
      <c r="AC99" s="16" t="s">
        <v>14</v>
      </c>
      <c r="AD99" s="16" t="s">
        <v>15</v>
      </c>
      <c r="AE99" s="16" t="s">
        <v>16</v>
      </c>
      <c r="AF99" s="16" t="s">
        <v>17</v>
      </c>
      <c r="AG99" s="16" t="s">
        <v>18</v>
      </c>
      <c r="AH99" s="16" t="s">
        <v>20</v>
      </c>
      <c r="AI99" s="16" t="s">
        <v>21</v>
      </c>
      <c r="AJ99" s="27" t="s">
        <v>22</v>
      </c>
      <c r="AK99" s="19"/>
      <c r="AL99" s="73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"/>
    </row>
    <row r="100" spans="1:72" x14ac:dyDescent="0.2">
      <c r="A100" s="2" t="s">
        <v>42</v>
      </c>
      <c r="B100" s="3" t="s">
        <v>56</v>
      </c>
      <c r="C100" s="2">
        <v>4.8305999999999996</v>
      </c>
      <c r="D100" s="2">
        <v>-0.85089999999999999</v>
      </c>
      <c r="E100" s="2">
        <v>0.31869999999999998</v>
      </c>
      <c r="F100" s="7">
        <f>-'ChemCAD Reference'!E5</f>
        <v>68.119575500488281</v>
      </c>
      <c r="G100" s="2">
        <f>F100*277.77778</f>
        <v>18922.104457068024</v>
      </c>
      <c r="H100" s="7">
        <f>'ChemCAD Reference'!E7</f>
        <v>-16.460954666137695</v>
      </c>
      <c r="I100" s="7">
        <f>'ChemCAD Reference'!E8</f>
        <v>-104.30581665039062</v>
      </c>
      <c r="J100">
        <v>30</v>
      </c>
      <c r="K100" s="3">
        <v>45</v>
      </c>
      <c r="L100" s="2">
        <f>ABS(((H100-K100)-(I100-J100))/LN((H100-K100)/(I100-J100)))</f>
        <v>93.185682049891952</v>
      </c>
      <c r="M100" s="3">
        <v>850</v>
      </c>
      <c r="N100" s="2">
        <f>G100/(L100*M100)</f>
        <v>0.23889184337715874</v>
      </c>
      <c r="O100" s="2"/>
      <c r="P100" s="2"/>
      <c r="Q100" s="2"/>
      <c r="R100" s="2"/>
      <c r="S100" s="2"/>
      <c r="T100" s="2">
        <f>N100</f>
        <v>0.23889184337715874</v>
      </c>
      <c r="U100" s="2">
        <f>C100+D100*LOG10(T100)+E100*(LOG10(T100))^2</f>
        <v>5.4829086225993331</v>
      </c>
      <c r="V100" s="2">
        <f>10^U100</f>
        <v>304024.52778768534</v>
      </c>
      <c r="W100" s="3" t="s">
        <v>69</v>
      </c>
      <c r="X100" s="2" t="s">
        <v>70</v>
      </c>
      <c r="Y100" s="2">
        <v>1</v>
      </c>
      <c r="Z100" s="3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1</v>
      </c>
      <c r="AF100" s="2">
        <v>1.63</v>
      </c>
      <c r="AG100" s="2">
        <v>1.66</v>
      </c>
      <c r="AH100" s="3">
        <v>1</v>
      </c>
      <c r="AI100" s="2">
        <f>AF100+AG100*AE100*Y100</f>
        <v>3.29</v>
      </c>
      <c r="AJ100" s="38">
        <f>AI100*V100</f>
        <v>1000240.6964214848</v>
      </c>
      <c r="AK100" s="19"/>
      <c r="AL100" s="73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</row>
    <row r="101" spans="1:72" x14ac:dyDescent="0.2">
      <c r="A101" s="2" t="s">
        <v>43</v>
      </c>
      <c r="B101" s="3" t="s">
        <v>76</v>
      </c>
      <c r="C101" s="2">
        <v>7.3487999999999998</v>
      </c>
      <c r="D101" s="2">
        <v>-1.16666</v>
      </c>
      <c r="E101" s="2">
        <v>2.0279999999999999E-2</v>
      </c>
      <c r="F101" s="7">
        <f>'ChemCAD Reference'!E6</f>
        <v>31.583623886108398</v>
      </c>
      <c r="G101" s="2">
        <f>F101*277.77778/1000</f>
        <v>8.7732289274381632</v>
      </c>
      <c r="H101" s="3"/>
      <c r="I101" s="3"/>
      <c r="J101" s="7">
        <f>'ChemCAD Reference'!E9</f>
        <v>-36.655807495117188</v>
      </c>
      <c r="K101" s="7">
        <f>'ChemCAD Reference'!E10</f>
        <v>-36.655807495117188</v>
      </c>
      <c r="L101" s="2"/>
      <c r="M101" s="3"/>
      <c r="N101" s="2"/>
      <c r="O101" s="2"/>
      <c r="P101" s="2"/>
      <c r="Q101" s="2"/>
      <c r="R101" s="2"/>
      <c r="S101" s="2"/>
      <c r="T101" s="2">
        <f>G101</f>
        <v>8.7732289274381632</v>
      </c>
      <c r="U101" s="2">
        <f>C101+D101*LOG10(T101)+E101*(LOG10(T101))^2</f>
        <v>6.2664936514960718</v>
      </c>
      <c r="V101" s="2">
        <f>10^U101</f>
        <v>1847113.7936572942</v>
      </c>
      <c r="W101" s="3" t="s">
        <v>69</v>
      </c>
      <c r="X101" s="2" t="s">
        <v>70</v>
      </c>
      <c r="Y101" s="2">
        <v>1</v>
      </c>
      <c r="Z101" s="3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1</v>
      </c>
      <c r="AF101" s="2"/>
      <c r="AG101" s="2"/>
      <c r="AH101" s="3">
        <v>1</v>
      </c>
      <c r="AI101" s="2">
        <v>2</v>
      </c>
      <c r="AJ101" s="38">
        <f>AI101*V101</f>
        <v>3694227.5873145885</v>
      </c>
      <c r="AK101" s="19"/>
      <c r="AL101" s="73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</row>
    <row r="102" spans="1:72" x14ac:dyDescent="0.2">
      <c r="AK102" s="19"/>
      <c r="AL102" s="73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</row>
    <row r="103" spans="1:72" s="17" customFormat="1" x14ac:dyDescent="0.2">
      <c r="A103" s="16" t="s">
        <v>31</v>
      </c>
      <c r="B103" s="16" t="s">
        <v>45</v>
      </c>
      <c r="C103" s="16" t="s">
        <v>1</v>
      </c>
      <c r="D103" s="16" t="s">
        <v>3</v>
      </c>
      <c r="E103" s="16" t="s">
        <v>4</v>
      </c>
      <c r="F103" s="16" t="s">
        <v>66</v>
      </c>
      <c r="G103" s="16" t="s">
        <v>67</v>
      </c>
      <c r="H103" s="16" t="s">
        <v>68</v>
      </c>
      <c r="I103" s="16" t="s">
        <v>60</v>
      </c>
      <c r="J103" s="16" t="s">
        <v>62</v>
      </c>
      <c r="K103" s="16" t="s">
        <v>61</v>
      </c>
      <c r="L103" s="16" t="s">
        <v>59</v>
      </c>
      <c r="M103" s="16" t="s">
        <v>64</v>
      </c>
      <c r="N103" s="16" t="s">
        <v>54</v>
      </c>
      <c r="O103" s="16" t="s">
        <v>55</v>
      </c>
      <c r="P103" s="16" t="s">
        <v>73</v>
      </c>
      <c r="Q103" s="16" t="s">
        <v>65</v>
      </c>
      <c r="R103" s="16" t="s">
        <v>35</v>
      </c>
      <c r="S103" s="16" t="s">
        <v>63</v>
      </c>
      <c r="T103" s="16" t="s">
        <v>5</v>
      </c>
      <c r="U103" s="16" t="s">
        <v>6</v>
      </c>
      <c r="V103" s="16" t="s">
        <v>7</v>
      </c>
      <c r="W103" s="16" t="s">
        <v>10</v>
      </c>
      <c r="X103" s="16" t="s">
        <v>8</v>
      </c>
      <c r="Y103" s="16" t="s">
        <v>9</v>
      </c>
      <c r="Z103" s="16" t="s">
        <v>11</v>
      </c>
      <c r="AA103" s="16" t="s">
        <v>12</v>
      </c>
      <c r="AB103" s="16" t="s">
        <v>13</v>
      </c>
      <c r="AC103" s="16" t="s">
        <v>14</v>
      </c>
      <c r="AD103" s="16" t="s">
        <v>15</v>
      </c>
      <c r="AE103" s="16" t="s">
        <v>16</v>
      </c>
      <c r="AF103" s="16" t="s">
        <v>17</v>
      </c>
      <c r="AG103" s="16" t="s">
        <v>18</v>
      </c>
      <c r="AH103" s="16" t="s">
        <v>20</v>
      </c>
      <c r="AI103" s="16" t="s">
        <v>21</v>
      </c>
      <c r="AJ103" s="27" t="s">
        <v>22</v>
      </c>
      <c r="AK103" s="19"/>
      <c r="AL103" s="73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"/>
    </row>
    <row r="104" spans="1:72" x14ac:dyDescent="0.2">
      <c r="A104" s="2" t="s">
        <v>40</v>
      </c>
      <c r="B104" s="3" t="s">
        <v>58</v>
      </c>
      <c r="C104" s="5">
        <v>3.3892000000000002</v>
      </c>
      <c r="D104" s="5">
        <v>5.3600000000000002E-2</v>
      </c>
      <c r="E104" s="5">
        <v>0.15379999999999999</v>
      </c>
      <c r="F104" s="3">
        <f>0*144</f>
        <v>0</v>
      </c>
      <c r="G104" s="3"/>
      <c r="H104" s="4">
        <v>42.406999999999996</v>
      </c>
      <c r="I104" s="3">
        <v>10</v>
      </c>
      <c r="J104" s="4">
        <v>32.17</v>
      </c>
      <c r="K104" s="4">
        <v>32.17</v>
      </c>
      <c r="L104" s="3">
        <v>0.45</v>
      </c>
      <c r="M104" s="2">
        <f>(F104/H104+I104*J104/K104+P104)/L104</f>
        <v>22.666666666666664</v>
      </c>
      <c r="N104" s="7">
        <f>'ChemCAD Reference'!E11*2.2</f>
        <v>123316.27343750001</v>
      </c>
      <c r="O104" s="2">
        <f>N104/3600</f>
        <v>34.254520399305562</v>
      </c>
      <c r="P104" s="2">
        <v>0.2</v>
      </c>
      <c r="Q104" s="2">
        <f>M104*O104</f>
        <v>776.43579571759267</v>
      </c>
      <c r="R104" s="2">
        <f>Q104/550</f>
        <v>1.4117014467592595</v>
      </c>
      <c r="S104" s="2">
        <f>Q104*0.001356</f>
        <v>1.0528469389930557</v>
      </c>
      <c r="T104" s="2">
        <f>R104</f>
        <v>1.4117014467592595</v>
      </c>
      <c r="U104" s="2">
        <f>C104+D104*LOG10(T104)+E104*(LOG10(T104))^2</f>
        <v>3.4006748630052037</v>
      </c>
      <c r="V104" s="2">
        <f>10^U104</f>
        <v>2515.7927602187406</v>
      </c>
      <c r="W104" s="3" t="s">
        <v>69</v>
      </c>
      <c r="X104" s="2" t="s">
        <v>70</v>
      </c>
      <c r="Y104" s="2">
        <v>1</v>
      </c>
      <c r="Z104" s="3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1</v>
      </c>
      <c r="AF104" s="5">
        <v>1.89</v>
      </c>
      <c r="AG104" s="5">
        <v>1.35</v>
      </c>
      <c r="AH104" s="3">
        <v>2</v>
      </c>
      <c r="AI104" s="2">
        <f>AF104+AG104*AE104*Y104</f>
        <v>3.24</v>
      </c>
      <c r="AJ104" s="38">
        <f>AI104*V104</f>
        <v>8151.1685431087199</v>
      </c>
      <c r="AK104" s="19"/>
      <c r="AL104" s="73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</row>
    <row r="105" spans="1:72" x14ac:dyDescent="0.2">
      <c r="A105" s="2" t="s">
        <v>41</v>
      </c>
      <c r="B105" s="3" t="s">
        <v>58</v>
      </c>
      <c r="C105" s="5">
        <v>3.3892000000000002</v>
      </c>
      <c r="D105" s="5">
        <v>5.3600000000000002E-2</v>
      </c>
      <c r="E105" s="5">
        <v>0.15379999999999999</v>
      </c>
      <c r="F105" s="3">
        <f>0*144</f>
        <v>0</v>
      </c>
      <c r="G105" s="3"/>
      <c r="H105" s="4">
        <v>43.668999999999997</v>
      </c>
      <c r="I105" s="3">
        <v>10</v>
      </c>
      <c r="J105" s="4">
        <v>32.17</v>
      </c>
      <c r="K105" s="4">
        <v>32.17</v>
      </c>
      <c r="L105" s="3">
        <v>0.45</v>
      </c>
      <c r="M105" s="2">
        <f>(F105/H105+I105*J105/K105+P105)/L105</f>
        <v>22.666666666666664</v>
      </c>
      <c r="N105" s="7">
        <f>'ChemCAD Reference'!E12*2.2</f>
        <v>362937.57500000001</v>
      </c>
      <c r="O105" s="2">
        <f>N105/3600</f>
        <v>100.81599305555555</v>
      </c>
      <c r="P105" s="2">
        <v>0.2</v>
      </c>
      <c r="Q105" s="2">
        <f>M105*O105</f>
        <v>2285.162509259259</v>
      </c>
      <c r="R105" s="2">
        <f>Q105/550</f>
        <v>4.1548409259259254</v>
      </c>
      <c r="S105" s="2">
        <f>Q105*0.001356</f>
        <v>3.0986803625555552</v>
      </c>
      <c r="T105" s="2">
        <f>R105</f>
        <v>4.1548409259259254</v>
      </c>
      <c r="U105" s="2">
        <f>C105+D105*LOG10(T105)+E105*(LOG10(T105))^2</f>
        <v>3.4811998641846258</v>
      </c>
      <c r="V105" s="2">
        <f>10^U105</f>
        <v>3028.3067472339976</v>
      </c>
      <c r="W105" s="3" t="s">
        <v>69</v>
      </c>
      <c r="X105" s="2" t="s">
        <v>70</v>
      </c>
      <c r="Y105" s="2">
        <v>1</v>
      </c>
      <c r="Z105" s="3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1</v>
      </c>
      <c r="AF105" s="5">
        <v>1.89</v>
      </c>
      <c r="AG105" s="5">
        <v>1.35</v>
      </c>
      <c r="AH105" s="3">
        <v>2</v>
      </c>
      <c r="AI105" s="2">
        <f>AF105+AG105*AE105*Y105</f>
        <v>3.24</v>
      </c>
      <c r="AJ105" s="38">
        <f>AI105*V105</f>
        <v>9811.7138610381535</v>
      </c>
      <c r="AK105" s="50">
        <f>AJ94+AJ97+AJ100+AJ101+AJ104+AJ105+AJ108</f>
        <v>4789295.9771913961</v>
      </c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</row>
    <row r="106" spans="1:72" x14ac:dyDescent="0.2"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</row>
    <row r="107" spans="1:72" s="17" customFormat="1" x14ac:dyDescent="0.2">
      <c r="A107" s="16" t="s">
        <v>32</v>
      </c>
      <c r="B107" s="16" t="s">
        <v>45</v>
      </c>
      <c r="C107" s="16" t="s">
        <v>1</v>
      </c>
      <c r="D107" s="16" t="s">
        <v>3</v>
      </c>
      <c r="E107" s="16" t="s">
        <v>4</v>
      </c>
      <c r="F107" s="16" t="s">
        <v>34</v>
      </c>
      <c r="G107" s="16" t="s">
        <v>33</v>
      </c>
      <c r="H107" s="16" t="s">
        <v>54</v>
      </c>
      <c r="I107" s="16" t="s">
        <v>55</v>
      </c>
      <c r="J107" s="16" t="s">
        <v>36</v>
      </c>
      <c r="K107" s="16" t="s">
        <v>37</v>
      </c>
      <c r="L107" s="16" t="s">
        <v>38</v>
      </c>
      <c r="M107" s="16"/>
      <c r="N107" s="16"/>
      <c r="O107" s="16"/>
      <c r="P107" s="16"/>
      <c r="Q107" s="16"/>
      <c r="R107" s="16"/>
      <c r="S107" s="16"/>
      <c r="T107" s="16" t="s">
        <v>5</v>
      </c>
      <c r="U107" s="16" t="s">
        <v>6</v>
      </c>
      <c r="V107" s="16" t="s">
        <v>7</v>
      </c>
      <c r="W107" s="16" t="s">
        <v>10</v>
      </c>
      <c r="X107" s="16" t="s">
        <v>8</v>
      </c>
      <c r="Y107" s="16" t="s">
        <v>9</v>
      </c>
      <c r="Z107" s="16" t="s">
        <v>11</v>
      </c>
      <c r="AA107" s="16" t="s">
        <v>12</v>
      </c>
      <c r="AB107" s="16" t="s">
        <v>13</v>
      </c>
      <c r="AC107" s="16" t="s">
        <v>14</v>
      </c>
      <c r="AD107" s="16" t="s">
        <v>15</v>
      </c>
      <c r="AE107" s="16" t="s">
        <v>16</v>
      </c>
      <c r="AF107" s="16" t="s">
        <v>17</v>
      </c>
      <c r="AG107" s="16" t="s">
        <v>18</v>
      </c>
      <c r="AH107" s="16" t="s">
        <v>20</v>
      </c>
      <c r="AI107" s="16" t="s">
        <v>21</v>
      </c>
      <c r="AJ107" s="27" t="s">
        <v>22</v>
      </c>
      <c r="AK107" s="1"/>
      <c r="AL107" s="74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"/>
    </row>
    <row r="108" spans="1:72" x14ac:dyDescent="0.2">
      <c r="A108" s="2" t="s">
        <v>39</v>
      </c>
      <c r="B108" s="3" t="s">
        <v>56</v>
      </c>
      <c r="C108" s="5">
        <v>3.5565000000000002</v>
      </c>
      <c r="D108" s="5">
        <v>0.37759999999999999</v>
      </c>
      <c r="E108" s="5">
        <v>9.0499999999999997E-2</v>
      </c>
      <c r="F108" s="3">
        <f>5*60</f>
        <v>300</v>
      </c>
      <c r="G108" s="2">
        <v>0.5</v>
      </c>
      <c r="H108" s="4">
        <f>N104</f>
        <v>123316.27343750001</v>
      </c>
      <c r="I108" s="2">
        <f>H108/3600</f>
        <v>34.254520399305562</v>
      </c>
      <c r="J108" s="4">
        <f>H104</f>
        <v>42.406999999999996</v>
      </c>
      <c r="K108" s="2">
        <f>I108*G108*F108/J108</f>
        <v>121.16344141051795</v>
      </c>
      <c r="L108" s="2">
        <f>K108*0.02832</f>
        <v>3.4313486607458685</v>
      </c>
      <c r="M108" s="2"/>
      <c r="N108" s="2"/>
      <c r="O108" s="2"/>
      <c r="P108" s="2"/>
      <c r="Q108" s="2"/>
      <c r="R108" s="2"/>
      <c r="S108" s="2"/>
      <c r="T108" s="2">
        <f>L108</f>
        <v>3.4313486607458685</v>
      </c>
      <c r="U108" s="2">
        <f>C108+D108*LOG10(T108)+E108*(LOG10(T108))^2</f>
        <v>3.7846399227568672</v>
      </c>
      <c r="V108" s="2">
        <f>10^U108</f>
        <v>6090.3173446856863</v>
      </c>
      <c r="W108" s="3" t="s">
        <v>69</v>
      </c>
      <c r="X108" s="2" t="s">
        <v>70</v>
      </c>
      <c r="Y108" s="2">
        <v>1</v>
      </c>
      <c r="Z108" s="3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1</v>
      </c>
      <c r="AF108" s="5">
        <v>2.25</v>
      </c>
      <c r="AG108" s="5">
        <v>1.82</v>
      </c>
      <c r="AH108" s="3">
        <v>1</v>
      </c>
      <c r="AI108" s="2">
        <f>AF108+AG108*AE108*Y108</f>
        <v>4.07</v>
      </c>
      <c r="AJ108" s="38">
        <f>AI108*V108</f>
        <v>24787.591592870744</v>
      </c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</row>
    <row r="112" spans="1:72" x14ac:dyDescent="0.2">
      <c r="AK112" s="4" t="s">
        <v>336</v>
      </c>
      <c r="AL112" s="66">
        <v>59000000</v>
      </c>
      <c r="AM112" s="1">
        <v>59000000</v>
      </c>
    </row>
    <row r="113" spans="37:39" x14ac:dyDescent="0.2">
      <c r="AK113" s="4" t="s">
        <v>293</v>
      </c>
      <c r="AL113" s="66">
        <v>2100000</v>
      </c>
      <c r="AM113" s="1">
        <v>2100000</v>
      </c>
    </row>
    <row r="114" spans="37:39" x14ac:dyDescent="0.2">
      <c r="AK114" s="4" t="s">
        <v>294</v>
      </c>
      <c r="AL114" s="66">
        <v>2600000</v>
      </c>
      <c r="AM114" s="1">
        <v>2600000</v>
      </c>
    </row>
    <row r="115" spans="37:39" x14ac:dyDescent="0.2">
      <c r="AK115" s="4" t="s">
        <v>356</v>
      </c>
      <c r="AL115" s="66">
        <v>4800000</v>
      </c>
      <c r="AM115" s="1">
        <v>4800000</v>
      </c>
    </row>
    <row r="116" spans="37:39" x14ac:dyDescent="0.2">
      <c r="AK116" s="4" t="s">
        <v>355</v>
      </c>
      <c r="AL116" s="66">
        <v>680000</v>
      </c>
      <c r="AM116" s="1">
        <v>680000</v>
      </c>
    </row>
    <row r="117" spans="37:39" x14ac:dyDescent="0.2">
      <c r="AK117" s="4" t="s">
        <v>194</v>
      </c>
      <c r="AL117" s="66">
        <v>850000</v>
      </c>
      <c r="AM117" s="1">
        <v>850000</v>
      </c>
    </row>
  </sheetData>
  <conditionalFormatting sqref="AK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8"/>
  <sheetViews>
    <sheetView topLeftCell="A16" workbookViewId="0">
      <selection activeCell="D6" sqref="D6"/>
    </sheetView>
  </sheetViews>
  <sheetFormatPr defaultRowHeight="12" x14ac:dyDescent="0.2"/>
  <cols>
    <col min="1" max="1" width="16.7109375" customWidth="1"/>
    <col min="2" max="2" width="12.5703125" bestFit="1" customWidth="1"/>
    <col min="3" max="3" width="11.5703125" customWidth="1"/>
    <col min="4" max="5" width="12" bestFit="1" customWidth="1"/>
    <col min="6" max="6" width="17.5703125" bestFit="1" customWidth="1"/>
    <col min="7" max="9" width="12" bestFit="1" customWidth="1"/>
    <col min="10" max="10" width="17.85546875" bestFit="1" customWidth="1"/>
    <col min="11" max="11" width="12.42578125" bestFit="1" customWidth="1"/>
    <col min="12" max="12" width="17.85546875" bestFit="1" customWidth="1"/>
    <col min="14" max="14" width="17.85546875" bestFit="1" customWidth="1"/>
    <col min="15" max="15" width="13.85546875" bestFit="1" customWidth="1"/>
    <col min="16" max="18" width="12" bestFit="1" customWidth="1"/>
  </cols>
  <sheetData>
    <row r="1" spans="1:18" x14ac:dyDescent="0.2">
      <c r="A1" s="2" t="s">
        <v>72</v>
      </c>
      <c r="B1" s="6">
        <v>51</v>
      </c>
      <c r="C1" s="9">
        <v>3</v>
      </c>
      <c r="D1" s="18">
        <v>18</v>
      </c>
      <c r="E1" s="63">
        <v>3</v>
      </c>
      <c r="F1" s="15"/>
      <c r="G1" s="15"/>
      <c r="H1" s="15"/>
      <c r="I1" s="15"/>
    </row>
    <row r="2" spans="1:18" x14ac:dyDescent="0.2">
      <c r="A2" s="2" t="s">
        <v>71</v>
      </c>
      <c r="B2" s="6">
        <v>36</v>
      </c>
      <c r="C2" s="9">
        <v>2</v>
      </c>
      <c r="D2" s="18">
        <v>14</v>
      </c>
      <c r="E2" s="63">
        <v>2</v>
      </c>
      <c r="F2" s="15"/>
      <c r="G2" s="15"/>
      <c r="H2" s="15"/>
      <c r="I2" s="15"/>
      <c r="J2" s="2" t="s">
        <v>174</v>
      </c>
      <c r="K2" s="2"/>
      <c r="L2" s="2" t="s">
        <v>194</v>
      </c>
      <c r="M2" s="2"/>
    </row>
    <row r="3" spans="1:18" x14ac:dyDescent="0.2">
      <c r="A3" s="2" t="s">
        <v>84</v>
      </c>
      <c r="B3" s="6">
        <v>10.515600204467773</v>
      </c>
      <c r="C3" s="9">
        <v>7.1627998352050781</v>
      </c>
      <c r="D3" s="18">
        <v>5.7912001609802246</v>
      </c>
      <c r="E3" s="63">
        <v>3.0480000972747803</v>
      </c>
      <c r="F3" s="60" t="s">
        <v>82</v>
      </c>
      <c r="G3" s="20">
        <v>25</v>
      </c>
      <c r="H3" s="15"/>
      <c r="J3" s="2" t="s">
        <v>182</v>
      </c>
      <c r="K3" s="2">
        <v>2.3840477466583252</v>
      </c>
      <c r="L3" s="2" t="s">
        <v>182</v>
      </c>
      <c r="M3" s="2">
        <v>0.29871839284896851</v>
      </c>
    </row>
    <row r="4" spans="1:18" x14ac:dyDescent="0.2">
      <c r="A4" s="2" t="s">
        <v>85</v>
      </c>
      <c r="B4" s="6">
        <v>0.6096000075340271</v>
      </c>
      <c r="C4" s="9">
        <v>0.6096000075340271</v>
      </c>
      <c r="D4" s="18">
        <v>0.6096000075340271</v>
      </c>
      <c r="E4" s="63">
        <v>0.6096000075340271</v>
      </c>
      <c r="F4" s="30"/>
      <c r="G4" s="4">
        <v>31</v>
      </c>
      <c r="H4" s="15"/>
      <c r="I4" s="15"/>
      <c r="J4" s="2" t="s">
        <v>183</v>
      </c>
      <c r="K4" s="2">
        <v>9.9388537928462029E-3</v>
      </c>
      <c r="L4" s="2" t="s">
        <v>183</v>
      </c>
      <c r="M4" s="2">
        <v>3.308413177728653E-2</v>
      </c>
    </row>
    <row r="5" spans="1:18" x14ac:dyDescent="0.2">
      <c r="A5" s="2" t="s">
        <v>86</v>
      </c>
      <c r="B5" s="6">
        <v>-270.15133666992187</v>
      </c>
      <c r="C5" s="9">
        <v>-74.458213806152344</v>
      </c>
      <c r="D5" s="18">
        <v>-32.025508880615234</v>
      </c>
      <c r="E5" s="63">
        <v>-68.119575500488281</v>
      </c>
      <c r="F5" s="30"/>
      <c r="G5" s="4"/>
      <c r="H5" s="15"/>
      <c r="I5" s="15"/>
      <c r="J5" s="2" t="s">
        <v>184</v>
      </c>
      <c r="K5" s="2">
        <v>41247.19140625</v>
      </c>
      <c r="L5" s="2" t="s">
        <v>184</v>
      </c>
      <c r="M5" s="2">
        <v>306392.9375</v>
      </c>
    </row>
    <row r="6" spans="1:18" x14ac:dyDescent="0.2">
      <c r="A6" s="2" t="s">
        <v>87</v>
      </c>
      <c r="B6" s="6">
        <v>9.3187141418457031</v>
      </c>
      <c r="C6" s="9">
        <v>151.84814453125</v>
      </c>
      <c r="D6" s="18">
        <v>79.134559631347656</v>
      </c>
      <c r="E6" s="63">
        <v>31.583623886108398</v>
      </c>
      <c r="F6" s="61"/>
      <c r="G6" s="4">
        <v>0</v>
      </c>
      <c r="H6" s="15"/>
      <c r="I6" s="15"/>
    </row>
    <row r="7" spans="1:18" x14ac:dyDescent="0.2">
      <c r="A7" s="2" t="s">
        <v>88</v>
      </c>
      <c r="B7" s="6">
        <v>316.66668701171875</v>
      </c>
      <c r="C7" s="9">
        <v>150.09449768066406</v>
      </c>
      <c r="D7" s="18">
        <v>133.32304382324219</v>
      </c>
      <c r="E7" s="63">
        <v>-16.460954666137695</v>
      </c>
      <c r="F7" s="60"/>
      <c r="G7" s="4">
        <v>-89.564712524414063</v>
      </c>
      <c r="H7" s="15"/>
      <c r="I7" s="15"/>
    </row>
    <row r="8" spans="1:18" x14ac:dyDescent="0.2">
      <c r="A8" s="2" t="s">
        <v>89</v>
      </c>
      <c r="B8" s="6">
        <v>-22.435600280761719</v>
      </c>
      <c r="C8" s="9">
        <v>104.54371643066406</v>
      </c>
      <c r="D8" s="18">
        <v>171.79930114746094</v>
      </c>
      <c r="E8" s="63">
        <v>-104.30581665039062</v>
      </c>
      <c r="F8" s="60"/>
      <c r="G8" s="4">
        <v>300</v>
      </c>
      <c r="H8" s="15"/>
      <c r="I8" s="15"/>
    </row>
    <row r="9" spans="1:18" x14ac:dyDescent="0.2">
      <c r="A9" s="2" t="s">
        <v>90</v>
      </c>
      <c r="B9" s="6">
        <v>250</v>
      </c>
      <c r="C9" s="9">
        <v>161.20559692382812</v>
      </c>
      <c r="D9" s="18">
        <v>206.85061645507812</v>
      </c>
      <c r="E9" s="63">
        <v>-36.655807495117188</v>
      </c>
      <c r="F9" s="60"/>
      <c r="G9" s="4">
        <v>0</v>
      </c>
      <c r="H9" s="15"/>
      <c r="I9" s="15"/>
    </row>
    <row r="10" spans="1:18" x14ac:dyDescent="0.2">
      <c r="A10" s="2" t="s">
        <v>91</v>
      </c>
      <c r="B10" s="6">
        <v>250</v>
      </c>
      <c r="C10" s="9">
        <v>161.20559692382812</v>
      </c>
      <c r="D10" s="18">
        <v>206.85061645507812</v>
      </c>
      <c r="E10" s="63">
        <v>-36.655807495117188</v>
      </c>
      <c r="F10" s="62"/>
      <c r="G10" s="52"/>
      <c r="H10" s="15"/>
      <c r="I10" s="15"/>
    </row>
    <row r="11" spans="1:18" x14ac:dyDescent="0.2">
      <c r="A11" s="2" t="s">
        <v>93</v>
      </c>
      <c r="B11" s="6">
        <v>221024.46875</v>
      </c>
      <c r="C11" s="9">
        <v>147131.640625</v>
      </c>
      <c r="D11" s="18">
        <v>256754.296875</v>
      </c>
      <c r="E11" s="63">
        <v>56052.8515625</v>
      </c>
      <c r="F11" s="62"/>
      <c r="G11" s="2"/>
      <c r="H11" s="15"/>
      <c r="I11" s="15"/>
    </row>
    <row r="12" spans="1:18" x14ac:dyDescent="0.2">
      <c r="A12" s="2" t="s">
        <v>94</v>
      </c>
      <c r="B12" s="6">
        <v>64909.78125</v>
      </c>
      <c r="C12" s="9">
        <v>653595</v>
      </c>
      <c r="D12" s="18">
        <v>157402</v>
      </c>
      <c r="E12" s="63">
        <v>164971.625</v>
      </c>
      <c r="F12" s="61" t="s">
        <v>83</v>
      </c>
      <c r="G12" s="20">
        <v>565</v>
      </c>
      <c r="H12" s="15"/>
      <c r="I12" s="15"/>
    </row>
    <row r="13" spans="1:18" x14ac:dyDescent="0.2">
      <c r="A13" s="5" t="s">
        <v>92</v>
      </c>
      <c r="B13" s="6">
        <v>0</v>
      </c>
      <c r="C13" s="9">
        <v>0.35843417048454285</v>
      </c>
      <c r="D13" s="18">
        <v>0.30149194598197937</v>
      </c>
      <c r="E13" s="63">
        <v>7.6128351502120495E-3</v>
      </c>
      <c r="F13" s="14"/>
      <c r="G13" s="15"/>
      <c r="H13" s="15"/>
      <c r="I13" s="15"/>
    </row>
    <row r="14" spans="1:18" x14ac:dyDescent="0.2">
      <c r="A14" s="31"/>
      <c r="B14" s="32"/>
      <c r="C14" s="32"/>
      <c r="D14" s="15"/>
      <c r="E14" s="15"/>
      <c r="F14" s="15"/>
      <c r="G14" s="15"/>
      <c r="H14" s="15"/>
      <c r="I14" s="15"/>
      <c r="J14" s="53">
        <v>0.2</v>
      </c>
      <c r="K14" s="53">
        <v>0.4</v>
      </c>
      <c r="L14" s="53">
        <v>0.6</v>
      </c>
      <c r="M14" s="53">
        <v>0.8</v>
      </c>
    </row>
    <row r="15" spans="1:18" x14ac:dyDescent="0.2">
      <c r="A15" s="15"/>
      <c r="B15" s="2">
        <v>6.4986487850546837E-3</v>
      </c>
      <c r="C15" s="15"/>
      <c r="D15" s="15"/>
      <c r="E15" s="15"/>
      <c r="F15" s="15"/>
      <c r="G15" s="15"/>
      <c r="J15">
        <v>51</v>
      </c>
      <c r="K15">
        <v>51</v>
      </c>
      <c r="L15">
        <v>51</v>
      </c>
      <c r="M15">
        <v>51</v>
      </c>
    </row>
    <row r="16" spans="1:18" x14ac:dyDescent="0.2">
      <c r="A16" s="14"/>
      <c r="B16" s="12">
        <v>0.54802793264389038</v>
      </c>
      <c r="C16" s="14"/>
      <c r="D16" s="14"/>
      <c r="E16" s="14"/>
      <c r="J16">
        <v>31</v>
      </c>
      <c r="K16">
        <v>31</v>
      </c>
      <c r="L16" s="11">
        <v>31</v>
      </c>
      <c r="M16" s="11">
        <v>31</v>
      </c>
      <c r="N16" s="11"/>
      <c r="O16" s="11"/>
      <c r="P16" s="11"/>
      <c r="Q16" s="11"/>
      <c r="R16" s="11"/>
    </row>
    <row r="17" spans="1:18" x14ac:dyDescent="0.2">
      <c r="A17" s="14"/>
      <c r="B17" s="12">
        <v>0.20303551852703094</v>
      </c>
      <c r="C17" s="14"/>
      <c r="D17" s="14"/>
      <c r="E17" s="14"/>
      <c r="F17" t="s">
        <v>291</v>
      </c>
      <c r="G17">
        <v>598892.625</v>
      </c>
      <c r="H17">
        <f>G17/3600</f>
        <v>166.35906249999999</v>
      </c>
      <c r="J17">
        <v>8.8392000198364258</v>
      </c>
      <c r="K17">
        <v>8.9916000366210937</v>
      </c>
      <c r="L17" s="11">
        <v>9.1440000534057617</v>
      </c>
      <c r="M17" s="11">
        <v>9.1440000534057617</v>
      </c>
      <c r="N17" s="11"/>
      <c r="O17" s="11"/>
      <c r="P17" s="11"/>
      <c r="Q17" s="11"/>
      <c r="R17" s="11"/>
    </row>
    <row r="18" spans="1:18" x14ac:dyDescent="0.2">
      <c r="A18" s="15"/>
      <c r="B18" s="12">
        <v>0.40245753526687622</v>
      </c>
      <c r="C18" s="14"/>
      <c r="D18" s="14"/>
      <c r="E18" s="14"/>
      <c r="J18">
        <v>0.6096000075340271</v>
      </c>
      <c r="K18">
        <v>0.6096000075340271</v>
      </c>
      <c r="L18">
        <v>0.6096000075340271</v>
      </c>
      <c r="M18">
        <v>0.6096000075340271</v>
      </c>
    </row>
    <row r="19" spans="1:18" x14ac:dyDescent="0.2">
      <c r="A19" s="15"/>
      <c r="B19" s="12">
        <f>SUM(B15:B18)/4</f>
        <v>0.29000490880571306</v>
      </c>
      <c r="C19" s="14"/>
      <c r="D19" s="14"/>
      <c r="E19" s="14"/>
      <c r="J19">
        <v>-174.34556579589844</v>
      </c>
      <c r="K19">
        <v>-178.9918212890625</v>
      </c>
      <c r="L19">
        <v>-184.93359375</v>
      </c>
      <c r="M19">
        <v>-192.9014892578125</v>
      </c>
    </row>
    <row r="20" spans="1:18" x14ac:dyDescent="0.2">
      <c r="A20" s="15"/>
      <c r="B20" s="15"/>
      <c r="C20" s="15"/>
      <c r="D20" s="15"/>
      <c r="E20" s="15"/>
      <c r="J20">
        <v>12.423112869262695</v>
      </c>
      <c r="K20">
        <v>13.771891593933105</v>
      </c>
      <c r="L20">
        <v>15.077433586120605</v>
      </c>
      <c r="M20">
        <v>16.429777145385742</v>
      </c>
    </row>
    <row r="21" spans="1:18" x14ac:dyDescent="0.2">
      <c r="A21" s="2"/>
      <c r="B21" s="2" t="s">
        <v>139</v>
      </c>
      <c r="C21" s="2" t="s">
        <v>137</v>
      </c>
      <c r="D21" s="2" t="s">
        <v>136</v>
      </c>
      <c r="E21" s="5" t="s">
        <v>138</v>
      </c>
      <c r="J21">
        <v>316.66668701171875</v>
      </c>
      <c r="K21">
        <v>316.66668701171875</v>
      </c>
      <c r="L21">
        <v>316.66668701171875</v>
      </c>
      <c r="M21">
        <v>316.66668701171875</v>
      </c>
    </row>
    <row r="22" spans="1:18" x14ac:dyDescent="0.2">
      <c r="A22" s="2" t="s">
        <v>117</v>
      </c>
      <c r="B22" s="2">
        <v>2198757</v>
      </c>
      <c r="C22" s="2"/>
      <c r="D22" s="2"/>
      <c r="E22" s="2"/>
      <c r="J22">
        <v>5.7686095237731934</v>
      </c>
      <c r="K22">
        <v>8.5350284576416016</v>
      </c>
      <c r="L22">
        <v>10.869453430175781</v>
      </c>
      <c r="M22">
        <v>15.076623916625977</v>
      </c>
    </row>
    <row r="23" spans="1:18" x14ac:dyDescent="0.2">
      <c r="A23" s="2" t="s">
        <v>125</v>
      </c>
      <c r="B23" s="2">
        <v>56052.8515625</v>
      </c>
      <c r="C23" s="2">
        <v>7.5473465025424957E-2</v>
      </c>
      <c r="D23" s="2">
        <v>4.2175136506557465E-2</v>
      </c>
      <c r="E23" s="2">
        <f>D23*0.1337</f>
        <v>5.6388157509267333E-3</v>
      </c>
      <c r="J23">
        <v>250</v>
      </c>
      <c r="K23">
        <v>250</v>
      </c>
      <c r="L23">
        <v>250</v>
      </c>
      <c r="M23">
        <v>250</v>
      </c>
    </row>
    <row r="24" spans="1:18" x14ac:dyDescent="0.2">
      <c r="A24" s="2" t="s">
        <v>126</v>
      </c>
      <c r="B24" s="2">
        <v>164971.625</v>
      </c>
      <c r="C24" s="2">
        <v>39.375633239746094</v>
      </c>
      <c r="D24" s="2">
        <v>11.008502960205078</v>
      </c>
      <c r="E24" s="2">
        <f>D24*0.1337</f>
        <v>1.4718368457794191</v>
      </c>
      <c r="J24">
        <v>250</v>
      </c>
      <c r="K24">
        <v>250</v>
      </c>
      <c r="L24">
        <v>250</v>
      </c>
      <c r="M24">
        <v>250</v>
      </c>
    </row>
    <row r="25" spans="1:18" x14ac:dyDescent="0.2">
      <c r="A25" s="2" t="s">
        <v>111</v>
      </c>
      <c r="B25" s="2">
        <v>147131.640625</v>
      </c>
      <c r="C25" s="2">
        <v>0.1731831431388855</v>
      </c>
      <c r="D25" s="2">
        <v>22.380172729492188</v>
      </c>
      <c r="E25" s="2">
        <f t="shared" ref="E25:E28" si="0">D25*0.1337</f>
        <v>2.9922290939331058</v>
      </c>
      <c r="J25">
        <v>291141.375</v>
      </c>
      <c r="K25">
        <v>293921.59375</v>
      </c>
      <c r="L25">
        <v>300220</v>
      </c>
      <c r="M25">
        <v>308530</v>
      </c>
    </row>
    <row r="26" spans="1:18" x14ac:dyDescent="0.2">
      <c r="A26" s="2" t="s">
        <v>116</v>
      </c>
      <c r="B26" s="2">
        <v>157402</v>
      </c>
      <c r="C26" s="2">
        <v>42.330043792724609</v>
      </c>
      <c r="D26" s="2">
        <v>50.383979797363281</v>
      </c>
      <c r="E26" s="2">
        <f t="shared" si="0"/>
        <v>6.7363380989074715</v>
      </c>
      <c r="J26">
        <v>87275</v>
      </c>
      <c r="K26">
        <v>97054</v>
      </c>
      <c r="L26">
        <v>107841.8671875</v>
      </c>
      <c r="M26">
        <v>124186.2734375</v>
      </c>
    </row>
    <row r="27" spans="1:18" x14ac:dyDescent="0.2">
      <c r="A27" s="2" t="s">
        <v>115</v>
      </c>
      <c r="B27" s="2">
        <v>8.7939952209126204E-6</v>
      </c>
      <c r="C27" s="2">
        <v>0.15358711779117584</v>
      </c>
      <c r="D27" s="2">
        <v>52.873805999755859</v>
      </c>
      <c r="E27" s="2">
        <f t="shared" si="0"/>
        <v>7.0692278621673594</v>
      </c>
      <c r="J27">
        <v>0.29000490880571306</v>
      </c>
      <c r="K27">
        <v>0.29000490880571306</v>
      </c>
      <c r="L27">
        <v>0</v>
      </c>
      <c r="M27">
        <v>0</v>
      </c>
    </row>
    <row r="28" spans="1:18" x14ac:dyDescent="0.2">
      <c r="A28" s="2" t="s">
        <v>117</v>
      </c>
      <c r="B28" s="2">
        <v>542688</v>
      </c>
      <c r="C28" s="2">
        <v>0.427509605884552</v>
      </c>
      <c r="D28" s="2">
        <v>51.073909759521484</v>
      </c>
      <c r="E28" s="2">
        <f t="shared" si="0"/>
        <v>6.8285817348480231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91"/>
  <sheetViews>
    <sheetView tabSelected="1" topLeftCell="A25" zoomScale="80" zoomScaleNormal="80" workbookViewId="0">
      <selection activeCell="D33" sqref="D33"/>
    </sheetView>
  </sheetViews>
  <sheetFormatPr defaultRowHeight="12" x14ac:dyDescent="0.2"/>
  <cols>
    <col min="1" max="1" width="17" bestFit="1" customWidth="1"/>
    <col min="2" max="5" width="17.140625" bestFit="1" customWidth="1"/>
    <col min="6" max="6" width="17.5703125" bestFit="1" customWidth="1"/>
    <col min="7" max="7" width="12.42578125" customWidth="1"/>
    <col min="8" max="8" width="18.85546875" bestFit="1" customWidth="1"/>
    <col min="9" max="9" width="12" bestFit="1" customWidth="1"/>
    <col min="10" max="10" width="18.85546875" bestFit="1" customWidth="1"/>
    <col min="11" max="11" width="14.42578125" bestFit="1" customWidth="1"/>
    <col min="12" max="12" width="18.85546875" bestFit="1" customWidth="1"/>
    <col min="13" max="13" width="13.85546875" bestFit="1" customWidth="1"/>
    <col min="14" max="14" width="13.140625" customWidth="1"/>
    <col min="15" max="16" width="14.5703125" bestFit="1" customWidth="1"/>
    <col min="17" max="18" width="12" bestFit="1" customWidth="1"/>
    <col min="19" max="19" width="13" bestFit="1" customWidth="1"/>
    <col min="31" max="31" width="28.7109375" bestFit="1" customWidth="1"/>
    <col min="32" max="32" width="15.5703125" bestFit="1" customWidth="1"/>
  </cols>
  <sheetData>
    <row r="1" spans="1:33" x14ac:dyDescent="0.2">
      <c r="A1" s="6" t="s">
        <v>53</v>
      </c>
      <c r="B1" s="6" t="s">
        <v>46</v>
      </c>
      <c r="D1" s="13" t="s">
        <v>53</v>
      </c>
      <c r="E1" s="13" t="s">
        <v>46</v>
      </c>
      <c r="G1" s="13" t="s">
        <v>53</v>
      </c>
      <c r="H1" s="13" t="s">
        <v>46</v>
      </c>
      <c r="J1" s="13" t="s">
        <v>53</v>
      </c>
      <c r="K1" s="13" t="s">
        <v>46</v>
      </c>
      <c r="M1" s="13" t="s">
        <v>53</v>
      </c>
      <c r="N1" s="13" t="s">
        <v>46</v>
      </c>
    </row>
    <row r="2" spans="1:33" x14ac:dyDescent="0.2">
      <c r="A2" s="2">
        <f>Cost!AJ3+Cost!AJ9+Cost!AJ10+Cost!AJ13+Cost!AJ14+Cost!AJ17+Cost!AJ6</f>
        <v>58825726.454955153</v>
      </c>
      <c r="B2" s="2">
        <f>1.8*A2</f>
        <v>105886307.61891928</v>
      </c>
      <c r="D2" s="2">
        <f>Cost!AJ22+Cost!AJ25+Cost!AJ28+Cost!AJ29+Cost!AJ32+Cost!AJ33+Cost!AJ36</f>
        <v>2617384.6171998386</v>
      </c>
      <c r="E2" s="2">
        <f>1.8*D2</f>
        <v>4711292.3109597098</v>
      </c>
      <c r="G2" s="2">
        <f>Cost!AK53</f>
        <v>2131167.159182881</v>
      </c>
      <c r="H2" s="2">
        <f>1.8*G2</f>
        <v>3836100.8865291858</v>
      </c>
      <c r="J2" s="2">
        <f>Cost!AK76</f>
        <v>1655556.2501355931</v>
      </c>
      <c r="K2" s="2">
        <f>1.8*J2</f>
        <v>2980001.2502440675</v>
      </c>
      <c r="L2" s="1"/>
      <c r="M2" s="2">
        <f>Cost!AK105</f>
        <v>4789295.9771913961</v>
      </c>
      <c r="N2" s="2">
        <f>1.8*M2</f>
        <v>8620732.7589445133</v>
      </c>
    </row>
    <row r="3" spans="1:33" x14ac:dyDescent="0.2">
      <c r="K3" s="1"/>
      <c r="L3" s="1"/>
    </row>
    <row r="4" spans="1:33" x14ac:dyDescent="0.2">
      <c r="A4" s="6" t="s">
        <v>104</v>
      </c>
      <c r="B4" s="6" t="s">
        <v>47</v>
      </c>
      <c r="C4" s="6" t="s">
        <v>48</v>
      </c>
      <c r="D4" s="6" t="s">
        <v>49</v>
      </c>
      <c r="E4" s="6"/>
      <c r="F4" s="6"/>
      <c r="G4" s="6"/>
      <c r="H4" s="6"/>
      <c r="I4" s="6" t="s">
        <v>52</v>
      </c>
      <c r="K4" s="6" t="s">
        <v>104</v>
      </c>
      <c r="L4" s="6" t="s">
        <v>47</v>
      </c>
      <c r="M4" s="6" t="s">
        <v>48</v>
      </c>
      <c r="N4" s="6" t="s">
        <v>49</v>
      </c>
      <c r="O4" s="6" t="s">
        <v>105</v>
      </c>
      <c r="P4" s="6" t="s">
        <v>50</v>
      </c>
      <c r="Q4" s="6" t="s">
        <v>48</v>
      </c>
      <c r="R4" s="6" t="s">
        <v>51</v>
      </c>
      <c r="S4" s="6" t="s">
        <v>52</v>
      </c>
      <c r="U4" s="9" t="s">
        <v>104</v>
      </c>
      <c r="V4" s="9" t="s">
        <v>47</v>
      </c>
      <c r="W4" s="9" t="s">
        <v>48</v>
      </c>
      <c r="X4" s="9" t="s">
        <v>49</v>
      </c>
      <c r="Y4" s="9" t="s">
        <v>105</v>
      </c>
      <c r="Z4" s="9" t="s">
        <v>50</v>
      </c>
      <c r="AA4" s="9" t="s">
        <v>48</v>
      </c>
      <c r="AB4" s="9" t="s">
        <v>51</v>
      </c>
      <c r="AC4" s="9" t="s">
        <v>52</v>
      </c>
      <c r="AE4" s="2" t="s">
        <v>357</v>
      </c>
      <c r="AF4" s="58">
        <v>29000</v>
      </c>
      <c r="AG4">
        <v>29000</v>
      </c>
    </row>
    <row r="5" spans="1:33" x14ac:dyDescent="0.2">
      <c r="A5" s="4">
        <f>-'ChemCAD Reference'!B5</f>
        <v>270.15133666992187</v>
      </c>
      <c r="B5" s="2">
        <f>A5/1000</f>
        <v>0.27015133666992186</v>
      </c>
      <c r="C5" s="3">
        <v>13.11</v>
      </c>
      <c r="D5" s="2">
        <f>B5*C5*8760*0.95</f>
        <v>29473.894445586546</v>
      </c>
      <c r="E5" s="4"/>
      <c r="F5" s="2"/>
      <c r="G5" s="3"/>
      <c r="H5" s="2"/>
      <c r="I5" s="2">
        <f>H5+D5</f>
        <v>29473.894445586546</v>
      </c>
      <c r="K5" s="4">
        <f>-'ChemCAD Reference'!D5</f>
        <v>32.025508880615234</v>
      </c>
      <c r="L5" s="2">
        <f>K5/1000</f>
        <v>3.2025508880615235E-2</v>
      </c>
      <c r="M5" s="3">
        <v>4.43</v>
      </c>
      <c r="N5" s="2">
        <f>L5*M5*8760*0.95</f>
        <v>1180.6671421268461</v>
      </c>
      <c r="O5" s="4"/>
      <c r="P5" s="2"/>
      <c r="Q5" s="3"/>
      <c r="R5" s="2"/>
      <c r="S5" s="2">
        <f>R5+N5</f>
        <v>1180.6671421268461</v>
      </c>
      <c r="U5" s="4">
        <f>-'ChemCAD Reference'!E5</f>
        <v>68.119575500488281</v>
      </c>
      <c r="V5" s="2">
        <f>U5/1000</f>
        <v>6.8119575500488277E-2</v>
      </c>
      <c r="W5" s="3">
        <v>0.35399999999999998</v>
      </c>
      <c r="X5" s="2">
        <f>V5*W5*8760*0.95</f>
        <v>200.67945198953245</v>
      </c>
      <c r="Y5" s="4">
        <f>'ChemCAD Reference'!E6</f>
        <v>31.583623886108398</v>
      </c>
      <c r="Z5" s="2">
        <f>Y5/1000</f>
        <v>3.15836238861084E-2</v>
      </c>
      <c r="AA5" s="3">
        <v>17.7</v>
      </c>
      <c r="AB5" s="2">
        <f>Z5*AA5*8760*0.95</f>
        <v>4652.2488482494355</v>
      </c>
      <c r="AC5" s="2">
        <f>AB5+X5</f>
        <v>4852.9283002389675</v>
      </c>
      <c r="AE5" s="2" t="s">
        <v>358</v>
      </c>
      <c r="AF5" s="58">
        <v>1000</v>
      </c>
      <c r="AG5">
        <v>1000</v>
      </c>
    </row>
    <row r="6" spans="1:33" x14ac:dyDescent="0.2">
      <c r="A6" s="1"/>
      <c r="K6" s="1"/>
      <c r="AE6" s="2" t="s">
        <v>359</v>
      </c>
      <c r="AF6" s="58">
        <v>200</v>
      </c>
      <c r="AG6">
        <v>200</v>
      </c>
    </row>
    <row r="7" spans="1:33" x14ac:dyDescent="0.2">
      <c r="A7" s="9" t="s">
        <v>104</v>
      </c>
      <c r="B7" s="9" t="s">
        <v>47</v>
      </c>
      <c r="C7" s="9" t="s">
        <v>48</v>
      </c>
      <c r="D7" s="9" t="s">
        <v>49</v>
      </c>
      <c r="E7" s="9" t="s">
        <v>105</v>
      </c>
      <c r="F7" s="9" t="s">
        <v>50</v>
      </c>
      <c r="G7" s="9" t="s">
        <v>48</v>
      </c>
      <c r="H7" s="9" t="s">
        <v>51</v>
      </c>
      <c r="I7" s="9" t="s">
        <v>52</v>
      </c>
      <c r="K7" s="6" t="s">
        <v>104</v>
      </c>
      <c r="L7" s="6" t="s">
        <v>47</v>
      </c>
      <c r="M7" s="6" t="s">
        <v>48</v>
      </c>
      <c r="N7" s="6" t="s">
        <v>49</v>
      </c>
      <c r="O7" s="9"/>
      <c r="P7" s="9"/>
      <c r="Q7" s="9"/>
      <c r="R7" s="9"/>
      <c r="S7" s="9"/>
      <c r="AE7" s="2" t="s">
        <v>360</v>
      </c>
      <c r="AF7" s="58">
        <v>22000</v>
      </c>
      <c r="AG7">
        <v>22000</v>
      </c>
    </row>
    <row r="8" spans="1:33" x14ac:dyDescent="0.2">
      <c r="A8" s="4">
        <f>-'ChemCAD Reference'!C5</f>
        <v>74.458213806152344</v>
      </c>
      <c r="B8" s="2">
        <f>A8/1000</f>
        <v>7.4458213806152349E-2</v>
      </c>
      <c r="C8" s="3">
        <v>0.35399999999999998</v>
      </c>
      <c r="D8" s="2">
        <f>B8*C8*8760*0.95</f>
        <v>219.35300437435913</v>
      </c>
      <c r="E8" s="4">
        <f>'ChemCAD Reference'!C6</f>
        <v>151.84814453125</v>
      </c>
      <c r="F8" s="2">
        <f>E8/1000</f>
        <v>0.15184814453125001</v>
      </c>
      <c r="G8" s="3">
        <v>17.7</v>
      </c>
      <c r="H8" s="2">
        <f>F8*G8*8760*0.95</f>
        <v>22367.140580566407</v>
      </c>
      <c r="I8" s="2">
        <f>H8+D8</f>
        <v>22586.493584940767</v>
      </c>
      <c r="K8" s="4">
        <f>Cost!F78</f>
        <v>164228</v>
      </c>
      <c r="L8" s="2">
        <f>K8/1000</f>
        <v>164.22800000000001</v>
      </c>
      <c r="M8" s="3">
        <v>0.35399999999999998</v>
      </c>
      <c r="N8" s="2">
        <f>L8*M8*8760*0.95</f>
        <v>483813.71726400004</v>
      </c>
      <c r="O8" s="4"/>
      <c r="P8" s="2"/>
      <c r="Q8" s="3"/>
      <c r="R8" s="2"/>
      <c r="S8" s="2">
        <f>R8+N8</f>
        <v>483813.71726400004</v>
      </c>
      <c r="AE8" s="2" t="s">
        <v>361</v>
      </c>
      <c r="AF8" s="58">
        <v>200</v>
      </c>
      <c r="AG8">
        <v>200</v>
      </c>
    </row>
    <row r="9" spans="1:33" x14ac:dyDescent="0.2">
      <c r="I9" s="15"/>
      <c r="U9" t="s">
        <v>357</v>
      </c>
      <c r="AE9" s="2" t="s">
        <v>362</v>
      </c>
      <c r="AF9" s="58">
        <v>4700</v>
      </c>
      <c r="AG9">
        <v>4700</v>
      </c>
    </row>
    <row r="10" spans="1:33" x14ac:dyDescent="0.2">
      <c r="U10" t="s">
        <v>358</v>
      </c>
      <c r="AE10" s="2" t="s">
        <v>363</v>
      </c>
      <c r="AF10" s="58">
        <v>480000</v>
      </c>
      <c r="AG10">
        <v>480000</v>
      </c>
    </row>
    <row r="11" spans="1:33" x14ac:dyDescent="0.2">
      <c r="A11" s="6" t="s">
        <v>336</v>
      </c>
      <c r="C11" s="13" t="s">
        <v>294</v>
      </c>
      <c r="K11" s="6" t="s">
        <v>293</v>
      </c>
      <c r="M11" s="13" t="s">
        <v>337</v>
      </c>
      <c r="O11" s="6" t="s">
        <v>338</v>
      </c>
      <c r="U11" t="s">
        <v>359</v>
      </c>
    </row>
    <row r="12" spans="1:33" x14ac:dyDescent="0.2">
      <c r="A12" s="2">
        <f>-1.6906*B2-4.833*I5</f>
        <v>-179153838.99240047</v>
      </c>
      <c r="C12" s="2">
        <f>-1.6906*E2-4.833*I8</f>
        <v>-8074071.3044045046</v>
      </c>
      <c r="E12" s="2" t="s">
        <v>292</v>
      </c>
      <c r="F12" s="58">
        <f>$A$12</f>
        <v>-179153838.99240047</v>
      </c>
      <c r="K12" s="2">
        <f>-1.6906*H2-4.833*S5</f>
        <v>-6491018.323064141</v>
      </c>
      <c r="M12" s="2">
        <f>(-1.6906*K2-4.833*S8)*1.2</f>
        <v>-8851514.1710394397</v>
      </c>
      <c r="O12" s="2">
        <f>-1.6906*N2-4.833*AC5</f>
        <v>-14597665.004746649</v>
      </c>
      <c r="U12" t="s">
        <v>360</v>
      </c>
    </row>
    <row r="13" spans="1:33" x14ac:dyDescent="0.2">
      <c r="E13" s="2" t="s">
        <v>294</v>
      </c>
      <c r="F13" s="58">
        <f>$C$12</f>
        <v>-8074071.3044045046</v>
      </c>
      <c r="U13" t="s">
        <v>361</v>
      </c>
    </row>
    <row r="14" spans="1:33" x14ac:dyDescent="0.2">
      <c r="A14" s="2" t="s">
        <v>290</v>
      </c>
      <c r="E14" s="2" t="s">
        <v>293</v>
      </c>
      <c r="F14" s="58">
        <f>$K$12</f>
        <v>-6491018.323064141</v>
      </c>
      <c r="U14" t="s">
        <v>362</v>
      </c>
    </row>
    <row r="15" spans="1:33" x14ac:dyDescent="0.2">
      <c r="A15" s="35">
        <f>A12+C12+K12+M12+O12</f>
        <v>-217168107.79565519</v>
      </c>
      <c r="E15" s="5" t="s">
        <v>338</v>
      </c>
      <c r="F15" s="58">
        <f>O12</f>
        <v>-14597665.004746649</v>
      </c>
    </row>
    <row r="16" spans="1:33" x14ac:dyDescent="0.2">
      <c r="E16" s="5" t="s">
        <v>337</v>
      </c>
      <c r="F16" s="58">
        <f>M12</f>
        <v>-8851514.1710394397</v>
      </c>
    </row>
    <row r="20" spans="1:21" x14ac:dyDescent="0.2">
      <c r="A20" s="2"/>
      <c r="B20" s="2" t="s">
        <v>120</v>
      </c>
      <c r="C20" s="2" t="s">
        <v>110</v>
      </c>
      <c r="D20" s="2" t="s">
        <v>121</v>
      </c>
      <c r="G20" s="15"/>
      <c r="L20" s="2"/>
      <c r="M20" s="55">
        <v>-0.2</v>
      </c>
      <c r="N20" s="55">
        <v>-0.4</v>
      </c>
      <c r="O20" s="55">
        <v>0.2</v>
      </c>
      <c r="P20" s="55">
        <v>0.4</v>
      </c>
    </row>
    <row r="21" spans="1:21" x14ac:dyDescent="0.2">
      <c r="A21" s="5" t="s">
        <v>140</v>
      </c>
      <c r="B21" s="2">
        <v>1.21</v>
      </c>
      <c r="C21" s="2">
        <f>'ChemCAD Reference'!E26</f>
        <v>6.7363380989074715</v>
      </c>
      <c r="D21" s="2">
        <f t="shared" ref="D21:D26" si="0">B21/C21</f>
        <v>0.17962281320117277</v>
      </c>
      <c r="E21">
        <v>1.21</v>
      </c>
      <c r="F21" s="2" t="s">
        <v>141</v>
      </c>
      <c r="G21" s="2">
        <v>2</v>
      </c>
      <c r="H21" s="2" t="s">
        <v>144</v>
      </c>
      <c r="L21" s="2">
        <v>0.20209174519468692</v>
      </c>
      <c r="M21" s="2">
        <f>L21-0.2*L21</f>
        <v>0.16167339615574955</v>
      </c>
      <c r="N21" s="2">
        <f>L21-0.4*L21</f>
        <v>0.12125504711681215</v>
      </c>
      <c r="O21" s="2">
        <f>L21+0.2*L21</f>
        <v>0.2425100942336243</v>
      </c>
      <c r="P21" s="2">
        <f>L21+0.4*L21</f>
        <v>0.28292844327256172</v>
      </c>
      <c r="R21" s="53"/>
      <c r="S21" s="53"/>
      <c r="T21" s="53"/>
      <c r="U21" s="53"/>
    </row>
    <row r="22" spans="1:21" x14ac:dyDescent="0.2">
      <c r="A22" s="2" t="s">
        <v>118</v>
      </c>
      <c r="B22" s="2">
        <v>10</v>
      </c>
      <c r="C22" s="2">
        <f>'ChemCAD Reference'!D23*1000</f>
        <v>42.175136506557465</v>
      </c>
      <c r="D22" s="2">
        <f t="shared" si="0"/>
        <v>0.23710652361362677</v>
      </c>
      <c r="E22">
        <v>10</v>
      </c>
      <c r="F22" s="2" t="s">
        <v>142</v>
      </c>
      <c r="G22" s="2">
        <f>'ChemCAD Reference'!K5/3600</f>
        <v>11.457553168402777</v>
      </c>
      <c r="H22" s="2" t="s">
        <v>193</v>
      </c>
      <c r="L22" s="2">
        <v>0.23710652361362677</v>
      </c>
      <c r="M22" s="2">
        <f t="shared" ref="M22:M26" si="1">L22-0.2*L22</f>
        <v>0.18968521889090142</v>
      </c>
      <c r="N22" s="2">
        <f t="shared" ref="N22:N26" si="2">L22-0.4*L22</f>
        <v>0.14226391416817608</v>
      </c>
      <c r="O22" s="2">
        <f t="shared" ref="O22:O26" si="3">L22+0.2*L22</f>
        <v>0.28452782833635215</v>
      </c>
      <c r="P22" s="2">
        <f t="shared" ref="P22:P26" si="4">L22+0.4*L22</f>
        <v>0.33194913305907747</v>
      </c>
    </row>
    <row r="23" spans="1:21" x14ac:dyDescent="0.2">
      <c r="A23" s="2" t="s">
        <v>108</v>
      </c>
      <c r="B23" s="2">
        <v>0.65</v>
      </c>
      <c r="C23" s="2">
        <f>'ChemCAD Reference'!E24</f>
        <v>1.4718368457794191</v>
      </c>
      <c r="D23" s="2">
        <f t="shared" si="0"/>
        <v>0.44162503599764757</v>
      </c>
      <c r="E23">
        <v>0.82</v>
      </c>
      <c r="F23" s="2" t="s">
        <v>143</v>
      </c>
      <c r="G23" s="2">
        <f>G22*G21</f>
        <v>22.915106336805554</v>
      </c>
      <c r="H23" s="2" t="s">
        <v>145</v>
      </c>
      <c r="L23" s="2">
        <v>1.4403770404846352</v>
      </c>
      <c r="M23" s="2">
        <f t="shared" si="1"/>
        <v>1.1523016323877082</v>
      </c>
      <c r="N23" s="2">
        <f t="shared" si="2"/>
        <v>0.86422622429078111</v>
      </c>
      <c r="O23" s="2">
        <f t="shared" si="3"/>
        <v>1.7284524485815622</v>
      </c>
      <c r="P23" s="2">
        <f t="shared" si="4"/>
        <v>2.0165278566784894</v>
      </c>
    </row>
    <row r="24" spans="1:21" x14ac:dyDescent="0.2">
      <c r="A24" s="2" t="s">
        <v>106</v>
      </c>
      <c r="B24" s="2">
        <v>1.58</v>
      </c>
      <c r="C24" s="2">
        <f>'ChemCAD Reference'!E25</f>
        <v>2.9922290939331058</v>
      </c>
      <c r="D24" s="2">
        <f t="shared" si="0"/>
        <v>0.52803443533235106</v>
      </c>
      <c r="E24">
        <v>1.58</v>
      </c>
      <c r="L24" s="2">
        <v>0.56813831649683344</v>
      </c>
      <c r="M24" s="2">
        <f t="shared" si="1"/>
        <v>0.45451065319746675</v>
      </c>
      <c r="N24" s="2">
        <f t="shared" si="2"/>
        <v>0.34088298989810006</v>
      </c>
      <c r="O24" s="2">
        <f t="shared" si="3"/>
        <v>0.68176597979620013</v>
      </c>
      <c r="P24" s="2">
        <f t="shared" si="4"/>
        <v>0.79539364309556682</v>
      </c>
    </row>
    <row r="25" spans="1:21" x14ac:dyDescent="0.2">
      <c r="A25" s="2" t="s">
        <v>107</v>
      </c>
      <c r="B25" s="2">
        <v>1.55</v>
      </c>
      <c r="C25" s="2">
        <f>'ChemCAD Reference'!E26</f>
        <v>6.7363380989074715</v>
      </c>
      <c r="D25" s="2">
        <f t="shared" si="0"/>
        <v>0.23009533922464281</v>
      </c>
      <c r="E25">
        <v>1.55</v>
      </c>
      <c r="L25" s="2">
        <v>0.38596637547359436</v>
      </c>
      <c r="M25" s="2">
        <f t="shared" si="1"/>
        <v>0.30877310037887551</v>
      </c>
      <c r="N25" s="2">
        <f t="shared" si="2"/>
        <v>0.2315798252841566</v>
      </c>
      <c r="O25" s="2">
        <f t="shared" si="3"/>
        <v>0.46315965056831321</v>
      </c>
      <c r="P25" s="2">
        <f t="shared" si="4"/>
        <v>0.54035292566303217</v>
      </c>
    </row>
    <row r="26" spans="1:21" x14ac:dyDescent="0.2">
      <c r="A26" s="2" t="s">
        <v>109</v>
      </c>
      <c r="B26" s="2">
        <v>1.21</v>
      </c>
      <c r="C26" s="2">
        <f>'ChemCAD Reference'!E27</f>
        <v>7.0692278621673594</v>
      </c>
      <c r="D26" s="2">
        <f t="shared" si="0"/>
        <v>0.17116437941908769</v>
      </c>
      <c r="E26">
        <v>1.21</v>
      </c>
      <c r="F26" s="15"/>
      <c r="G26" s="15"/>
      <c r="H26" s="15"/>
      <c r="I26" s="15"/>
      <c r="L26" s="2">
        <v>0.19521226743664544</v>
      </c>
      <c r="M26" s="2">
        <f t="shared" si="1"/>
        <v>0.15616981394931634</v>
      </c>
      <c r="N26" s="2">
        <f t="shared" si="2"/>
        <v>0.11712736046198725</v>
      </c>
      <c r="O26" s="2">
        <f t="shared" si="3"/>
        <v>0.23425472092397454</v>
      </c>
      <c r="P26" s="2">
        <f t="shared" si="4"/>
        <v>0.27329717441130363</v>
      </c>
    </row>
    <row r="27" spans="1:21" x14ac:dyDescent="0.2">
      <c r="F27" s="15"/>
      <c r="G27" s="15"/>
      <c r="H27" s="15"/>
      <c r="I27" s="15"/>
    </row>
    <row r="28" spans="1:21" x14ac:dyDescent="0.2">
      <c r="A28" s="2" t="s">
        <v>135</v>
      </c>
      <c r="B28" s="36">
        <f>'ChemCAD Reference'!B28</f>
        <v>542688</v>
      </c>
    </row>
    <row r="29" spans="1:21" x14ac:dyDescent="0.2">
      <c r="A29" s="2" t="s">
        <v>130</v>
      </c>
      <c r="B29" s="36">
        <f>'ChemCAD Reference'!B23</f>
        <v>56052.8515625</v>
      </c>
      <c r="K29" t="s">
        <v>201</v>
      </c>
    </row>
    <row r="30" spans="1:21" x14ac:dyDescent="0.2">
      <c r="A30" s="2" t="s">
        <v>131</v>
      </c>
      <c r="B30" s="36">
        <f>'ChemCAD Reference'!B24</f>
        <v>164971.625</v>
      </c>
      <c r="K30" s="2"/>
      <c r="L30" s="2" t="s">
        <v>195</v>
      </c>
      <c r="M30" s="2" t="s">
        <v>196</v>
      </c>
      <c r="N30" s="2" t="s">
        <v>197</v>
      </c>
      <c r="O30" s="2" t="s">
        <v>198</v>
      </c>
      <c r="P30" s="2" t="s">
        <v>199</v>
      </c>
      <c r="Q30" s="2" t="s">
        <v>200</v>
      </c>
    </row>
    <row r="31" spans="1:21" x14ac:dyDescent="0.2">
      <c r="A31" s="2" t="s">
        <v>133</v>
      </c>
      <c r="B31" s="36">
        <f>'ChemCAD Reference'!B25</f>
        <v>147131.640625</v>
      </c>
      <c r="K31" s="54">
        <v>-40</v>
      </c>
      <c r="L31" s="2">
        <v>131</v>
      </c>
      <c r="M31" s="2">
        <v>94</v>
      </c>
      <c r="N31" s="2">
        <v>67</v>
      </c>
      <c r="O31" s="2">
        <v>56</v>
      </c>
      <c r="P31" s="2">
        <v>78</v>
      </c>
      <c r="Q31" s="2">
        <v>100</v>
      </c>
    </row>
    <row r="32" spans="1:21" x14ac:dyDescent="0.2">
      <c r="A32" s="2" t="s">
        <v>132</v>
      </c>
      <c r="B32" s="36">
        <f>'ChemCAD Reference'!B26</f>
        <v>157402</v>
      </c>
      <c r="C32" s="37"/>
      <c r="K32" s="54">
        <v>-20</v>
      </c>
      <c r="L32" s="2">
        <v>115</v>
      </c>
      <c r="M32" s="2">
        <v>97</v>
      </c>
      <c r="N32" s="2">
        <v>82</v>
      </c>
      <c r="O32" s="2">
        <v>78</v>
      </c>
      <c r="P32" s="2">
        <v>90</v>
      </c>
      <c r="Q32" s="2">
        <v>100</v>
      </c>
    </row>
    <row r="33" spans="1:17" x14ac:dyDescent="0.2">
      <c r="A33" s="5" t="s">
        <v>134</v>
      </c>
      <c r="B33" s="2">
        <f>'ChemCAD Reference'!B27</f>
        <v>8.7939952209126204E-6</v>
      </c>
      <c r="C33" s="37"/>
      <c r="E33" t="s">
        <v>124</v>
      </c>
      <c r="F33">
        <v>2</v>
      </c>
      <c r="G33">
        <v>3</v>
      </c>
      <c r="H33">
        <v>4</v>
      </c>
      <c r="K33" s="54">
        <v>20</v>
      </c>
      <c r="L33" s="2">
        <v>87</v>
      </c>
      <c r="M33" s="2">
        <v>102</v>
      </c>
      <c r="N33" s="2">
        <v>115</v>
      </c>
      <c r="O33" s="2">
        <v>126</v>
      </c>
      <c r="P33" s="2">
        <v>112</v>
      </c>
      <c r="Q33" s="2">
        <v>100</v>
      </c>
    </row>
    <row r="34" spans="1:17" x14ac:dyDescent="0.2">
      <c r="D34">
        <v>550</v>
      </c>
      <c r="E34" s="2">
        <v>930</v>
      </c>
      <c r="F34" s="40">
        <v>339686231.57596999</v>
      </c>
      <c r="G34" s="4">
        <v>373823401.179241</v>
      </c>
      <c r="H34" s="4">
        <v>342193269.478118</v>
      </c>
      <c r="K34" s="54">
        <v>40</v>
      </c>
      <c r="L34" s="2">
        <v>70</v>
      </c>
      <c r="M34" s="2">
        <v>105</v>
      </c>
      <c r="N34" s="2">
        <v>134</v>
      </c>
      <c r="O34" s="2">
        <v>145</v>
      </c>
      <c r="P34" s="2">
        <v>120</v>
      </c>
      <c r="Q34" s="2">
        <v>100</v>
      </c>
    </row>
    <row r="35" spans="1:17" x14ac:dyDescent="0.2">
      <c r="A35" s="2" t="s">
        <v>114</v>
      </c>
      <c r="B35" s="56">
        <f>D21*B28*8760</f>
        <v>853917312.39453816</v>
      </c>
      <c r="C35" s="2">
        <f>B35*-4.833</f>
        <v>-4126982370.802803</v>
      </c>
      <c r="D35">
        <v>565</v>
      </c>
      <c r="E35" s="2">
        <v>950</v>
      </c>
      <c r="F35" s="4">
        <v>417284118.46957999</v>
      </c>
      <c r="G35" s="4">
        <v>410284118.46957999</v>
      </c>
      <c r="H35" s="4">
        <v>379572950.33334702</v>
      </c>
    </row>
    <row r="36" spans="1:17" x14ac:dyDescent="0.2">
      <c r="A36" s="2" t="s">
        <v>127</v>
      </c>
      <c r="B36" s="56">
        <f>B29*D22*8760</f>
        <v>116424751.7281076</v>
      </c>
      <c r="D36">
        <v>580</v>
      </c>
      <c r="E36" s="2">
        <v>970</v>
      </c>
      <c r="F36" s="4">
        <v>356813019.59311301</v>
      </c>
      <c r="G36">
        <v>361209526.27974999</v>
      </c>
      <c r="H36" s="4">
        <v>300972930.496387</v>
      </c>
    </row>
    <row r="37" spans="1:17" x14ac:dyDescent="0.2">
      <c r="A37" s="2" t="s">
        <v>128</v>
      </c>
      <c r="B37" s="56">
        <f>B30*D23*8760</f>
        <v>638215054.50392699</v>
      </c>
      <c r="D37">
        <v>595</v>
      </c>
      <c r="E37" s="2">
        <v>990</v>
      </c>
      <c r="F37" s="40">
        <v>249974638.75203899</v>
      </c>
      <c r="G37" s="4">
        <v>267187437.43516001</v>
      </c>
      <c r="H37" s="4">
        <v>191456544.66917101</v>
      </c>
    </row>
    <row r="38" spans="1:17" x14ac:dyDescent="0.2">
      <c r="A38" s="2" t="s">
        <v>129</v>
      </c>
      <c r="B38" s="56">
        <f>B31*D24*8760</f>
        <v>680569417.52603185</v>
      </c>
      <c r="E38" s="2"/>
      <c r="F38" s="40"/>
      <c r="G38" s="4"/>
      <c r="H38" s="40"/>
    </row>
    <row r="39" spans="1:17" x14ac:dyDescent="0.2">
      <c r="A39" s="2" t="s">
        <v>112</v>
      </c>
      <c r="B39" s="56">
        <f>B32*D25*8760</f>
        <v>317265007.28142214</v>
      </c>
    </row>
    <row r="40" spans="1:17" x14ac:dyDescent="0.2">
      <c r="A40" s="42" t="s">
        <v>113</v>
      </c>
      <c r="B40" s="56">
        <f>B33*D26*8760</f>
        <v>1.3185716115112921E-2</v>
      </c>
    </row>
    <row r="41" spans="1:17" x14ac:dyDescent="0.2">
      <c r="A41" s="2" t="s">
        <v>119</v>
      </c>
      <c r="B41" s="56">
        <f>B40+B39+B38+B37+B36</f>
        <v>1752474231.0526745</v>
      </c>
      <c r="C41" s="2">
        <f>B41*2.717</f>
        <v>4761472485.7701168</v>
      </c>
    </row>
    <row r="42" spans="1:17" x14ac:dyDescent="0.2">
      <c r="A42" s="2" t="s">
        <v>74</v>
      </c>
      <c r="E42" t="s">
        <v>367</v>
      </c>
      <c r="F42">
        <v>0</v>
      </c>
      <c r="G42">
        <v>10</v>
      </c>
      <c r="H42">
        <v>20</v>
      </c>
      <c r="I42">
        <v>30</v>
      </c>
      <c r="J42">
        <v>40</v>
      </c>
      <c r="K42">
        <v>50</v>
      </c>
      <c r="L42">
        <v>60</v>
      </c>
      <c r="M42">
        <v>70</v>
      </c>
      <c r="N42">
        <v>80</v>
      </c>
      <c r="O42">
        <v>90</v>
      </c>
      <c r="P42">
        <v>100</v>
      </c>
    </row>
    <row r="43" spans="1:17" x14ac:dyDescent="0.2">
      <c r="A43" s="65">
        <f>A15+C41+C35</f>
        <v>417322007.17165852</v>
      </c>
      <c r="E43" t="s">
        <v>295</v>
      </c>
      <c r="F43" s="68">
        <v>18392804.820931435</v>
      </c>
      <c r="G43" s="68"/>
      <c r="H43" s="68">
        <v>57340182.387609482</v>
      </c>
      <c r="I43" s="68"/>
      <c r="J43" s="68">
        <v>116083126.0683918</v>
      </c>
      <c r="K43" s="68"/>
      <c r="L43" s="68">
        <v>181140531.76676369</v>
      </c>
      <c r="M43" s="68"/>
      <c r="N43" s="68"/>
      <c r="O43" s="68"/>
    </row>
    <row r="44" spans="1:17" x14ac:dyDescent="0.2">
      <c r="E44" t="s">
        <v>257</v>
      </c>
      <c r="F44" s="68"/>
      <c r="G44" s="68"/>
      <c r="H44" s="68">
        <v>-180696305.37853801</v>
      </c>
      <c r="I44" s="68"/>
      <c r="J44" s="68">
        <v>-180696305.37853801</v>
      </c>
      <c r="K44" s="68"/>
      <c r="L44" s="68">
        <v>-180696305.37853801</v>
      </c>
      <c r="M44" s="68"/>
      <c r="N44" s="68"/>
      <c r="O44" s="68"/>
    </row>
    <row r="45" spans="1:17" x14ac:dyDescent="0.2">
      <c r="E45" t="s">
        <v>117</v>
      </c>
      <c r="F45" s="68"/>
      <c r="G45" s="68"/>
      <c r="H45" s="68">
        <v>-4126982370.802803</v>
      </c>
      <c r="I45" s="68"/>
      <c r="J45" s="68">
        <v>-4126982370.802803</v>
      </c>
      <c r="K45" s="68"/>
      <c r="L45" s="68">
        <v>-4126982370.802803</v>
      </c>
      <c r="M45" s="68"/>
      <c r="N45" s="68"/>
      <c r="O45" s="68"/>
    </row>
    <row r="46" spans="1:17" x14ac:dyDescent="0.2">
      <c r="E46" t="s">
        <v>368</v>
      </c>
      <c r="F46" s="68"/>
      <c r="G46" s="68"/>
      <c r="H46" s="68">
        <v>4293606452.9583597</v>
      </c>
      <c r="I46" s="68"/>
      <c r="J46" s="68">
        <v>4420120304.9976511</v>
      </c>
      <c r="K46" s="68"/>
      <c r="L46" s="68">
        <v>4481083419.2698832</v>
      </c>
      <c r="M46" s="68"/>
      <c r="N46" s="68"/>
      <c r="O46" s="68"/>
    </row>
    <row r="47" spans="1:17" x14ac:dyDescent="0.2">
      <c r="E47">
        <f>542688</f>
        <v>542688</v>
      </c>
      <c r="F47" s="68"/>
      <c r="G47" s="68"/>
      <c r="H47" s="68">
        <f>SUM(H44:H46)</f>
        <v>-14072223.222981453</v>
      </c>
      <c r="I47" s="68"/>
      <c r="J47" s="68">
        <f>SUM(J44:J46)</f>
        <v>112441628.81630993</v>
      </c>
      <c r="K47" s="68"/>
      <c r="L47" s="68">
        <f>SUM(L44:L46)</f>
        <v>173404743.08854198</v>
      </c>
      <c r="M47" s="68"/>
      <c r="N47" s="68"/>
      <c r="O47" s="68"/>
    </row>
    <row r="48" spans="1:17" x14ac:dyDescent="0.2">
      <c r="A48" s="2" t="s">
        <v>152</v>
      </c>
      <c r="B48" s="2" t="s">
        <v>151</v>
      </c>
      <c r="E48">
        <v>7727</v>
      </c>
    </row>
    <row r="49" spans="1:12" x14ac:dyDescent="0.2">
      <c r="A49" s="2" t="s">
        <v>146</v>
      </c>
      <c r="B49" s="44">
        <v>6</v>
      </c>
      <c r="E49">
        <f>(E47+E48)*5</f>
        <v>2752075</v>
      </c>
      <c r="J49" s="58">
        <v>-113236280.42605804</v>
      </c>
      <c r="L49">
        <v>-114245188.00012214</v>
      </c>
    </row>
    <row r="50" spans="1:12" x14ac:dyDescent="0.2">
      <c r="A50" s="2" t="s">
        <v>147</v>
      </c>
      <c r="B50" s="44">
        <v>6</v>
      </c>
      <c r="J50" s="58">
        <v>-15490499.454147603</v>
      </c>
      <c r="L50">
        <v>-15089873.399227405</v>
      </c>
    </row>
    <row r="51" spans="1:12" x14ac:dyDescent="0.2">
      <c r="A51" s="2" t="s">
        <v>148</v>
      </c>
      <c r="B51" s="44">
        <v>11</v>
      </c>
      <c r="E51">
        <f>E47+E48+E49</f>
        <v>3302490</v>
      </c>
      <c r="J51" s="58">
        <v>-35522308.183654904</v>
      </c>
      <c r="L51">
        <v>-30697521.553544994</v>
      </c>
    </row>
    <row r="52" spans="1:12" x14ac:dyDescent="0.2">
      <c r="A52" s="2" t="s">
        <v>149</v>
      </c>
      <c r="B52" s="44">
        <v>4</v>
      </c>
      <c r="J52" s="58">
        <v>-4986818.3294809107</v>
      </c>
      <c r="L52">
        <v>-5090749.8940100484</v>
      </c>
    </row>
    <row r="53" spans="1:12" x14ac:dyDescent="0.2">
      <c r="A53" s="2" t="s">
        <v>150</v>
      </c>
      <c r="B53" s="44">
        <v>3</v>
      </c>
      <c r="J53" s="58">
        <v>-7818901.7331147706</v>
      </c>
      <c r="L53">
        <v>-7837183.8534119967</v>
      </c>
    </row>
    <row r="57" spans="1:12" x14ac:dyDescent="0.2">
      <c r="E57" s="2" t="s">
        <v>367</v>
      </c>
      <c r="F57" s="2">
        <v>0</v>
      </c>
      <c r="G57" s="2">
        <v>0.25</v>
      </c>
      <c r="H57" s="2">
        <v>0.5</v>
      </c>
      <c r="I57" s="2">
        <v>0.75</v>
      </c>
      <c r="J57" s="5">
        <v>1</v>
      </c>
    </row>
    <row r="58" spans="1:12" x14ac:dyDescent="0.2">
      <c r="B58" s="2" t="s">
        <v>292</v>
      </c>
      <c r="C58" s="56">
        <f>$A$12</f>
        <v>-179153838.99240047</v>
      </c>
      <c r="E58" s="2" t="s">
        <v>372</v>
      </c>
      <c r="F58" s="2">
        <v>64783540.057444103</v>
      </c>
      <c r="G58" s="41">
        <v>212368743.46065331</v>
      </c>
      <c r="H58" s="2">
        <v>277073597.26852417</v>
      </c>
      <c r="I58" s="2">
        <v>333786450.05918884</v>
      </c>
      <c r="J58" s="2">
        <v>417294537.49673843</v>
      </c>
    </row>
    <row r="59" spans="1:12" x14ac:dyDescent="0.2">
      <c r="B59" s="2" t="s">
        <v>294</v>
      </c>
      <c r="C59" s="56">
        <f>$C$12</f>
        <v>-8074071.3044045046</v>
      </c>
      <c r="E59" s="2" t="s">
        <v>373</v>
      </c>
      <c r="F59" s="2">
        <v>123525588.24064493</v>
      </c>
      <c r="G59" s="4">
        <v>274252605.96922874</v>
      </c>
      <c r="H59" s="2">
        <v>311762092.81945896</v>
      </c>
      <c r="I59" s="2">
        <v>346871877.11983585</v>
      </c>
      <c r="J59" s="2">
        <v>385769778.23211575</v>
      </c>
    </row>
    <row r="60" spans="1:12" x14ac:dyDescent="0.2">
      <c r="B60" s="2" t="s">
        <v>293</v>
      </c>
      <c r="C60" s="56">
        <f>$K$12</f>
        <v>-6491018.323064141</v>
      </c>
      <c r="E60" s="2" t="s">
        <v>374</v>
      </c>
      <c r="F60" s="2">
        <v>175931293.27983952</v>
      </c>
      <c r="G60" s="4">
        <v>241258217.88341045</v>
      </c>
      <c r="H60" s="2">
        <v>266130729.3132906</v>
      </c>
      <c r="I60" s="2">
        <v>335071877.11983597</v>
      </c>
      <c r="J60" s="2">
        <v>317362738.23954487</v>
      </c>
    </row>
    <row r="61" spans="1:12" x14ac:dyDescent="0.2">
      <c r="B61" s="2"/>
      <c r="C61" s="2"/>
    </row>
    <row r="62" spans="1:12" x14ac:dyDescent="0.2">
      <c r="B62" s="2" t="s">
        <v>295</v>
      </c>
      <c r="C62" s="2">
        <f>A43</f>
        <v>417322007.17165852</v>
      </c>
    </row>
    <row r="68" spans="1:3" x14ac:dyDescent="0.2">
      <c r="B68" s="69" t="s">
        <v>370</v>
      </c>
      <c r="C68" s="69" t="s">
        <v>371</v>
      </c>
    </row>
    <row r="69" spans="1:3" x14ac:dyDescent="0.2">
      <c r="B69" s="2" t="s">
        <v>150</v>
      </c>
      <c r="C69" s="55">
        <v>0.9</v>
      </c>
    </row>
    <row r="70" spans="1:3" x14ac:dyDescent="0.2">
      <c r="B70" s="2" t="s">
        <v>149</v>
      </c>
      <c r="C70" s="55">
        <v>0.9</v>
      </c>
    </row>
    <row r="71" spans="1:3" x14ac:dyDescent="0.2">
      <c r="B71" s="2" t="s">
        <v>148</v>
      </c>
      <c r="C71" s="55">
        <v>0.99</v>
      </c>
    </row>
    <row r="72" spans="1:3" x14ac:dyDescent="0.2">
      <c r="B72" s="2" t="s">
        <v>147</v>
      </c>
      <c r="C72" s="55">
        <v>0.9</v>
      </c>
    </row>
    <row r="73" spans="1:3" x14ac:dyDescent="0.2">
      <c r="B73" s="2" t="s">
        <v>369</v>
      </c>
      <c r="C73" s="55">
        <v>0.8</v>
      </c>
    </row>
    <row r="74" spans="1:3" x14ac:dyDescent="0.2">
      <c r="A74" s="2"/>
      <c r="B74" s="2" t="s">
        <v>364</v>
      </c>
      <c r="C74" s="2" t="s">
        <v>365</v>
      </c>
    </row>
    <row r="75" spans="1:3" x14ac:dyDescent="0.2">
      <c r="A75" s="5" t="s">
        <v>117</v>
      </c>
      <c r="B75" s="58">
        <v>1.21</v>
      </c>
      <c r="C75" s="58">
        <v>0.17962281320117277</v>
      </c>
    </row>
    <row r="76" spans="1:3" x14ac:dyDescent="0.2">
      <c r="A76" s="2" t="s">
        <v>366</v>
      </c>
      <c r="B76" s="58">
        <v>10</v>
      </c>
      <c r="C76" s="58">
        <v>0.23710652361362677</v>
      </c>
    </row>
    <row r="77" spans="1:3" x14ac:dyDescent="0.2">
      <c r="A77" s="2" t="s">
        <v>126</v>
      </c>
      <c r="B77" s="58">
        <v>0.65</v>
      </c>
      <c r="C77" s="58">
        <v>0.44162503599764757</v>
      </c>
    </row>
    <row r="78" spans="1:3" x14ac:dyDescent="0.2">
      <c r="A78" s="2" t="s">
        <v>148</v>
      </c>
      <c r="B78" s="58">
        <v>1.58</v>
      </c>
      <c r="C78" s="58">
        <v>0.52803443533235106</v>
      </c>
    </row>
    <row r="79" spans="1:3" x14ac:dyDescent="0.2">
      <c r="A79" s="2" t="s">
        <v>116</v>
      </c>
      <c r="B79" s="58">
        <v>1.55</v>
      </c>
      <c r="C79" s="58">
        <v>0.23009533922464281</v>
      </c>
    </row>
    <row r="80" spans="1:3" x14ac:dyDescent="0.2">
      <c r="A80" s="2" t="s">
        <v>115</v>
      </c>
      <c r="B80" s="58">
        <v>1.21</v>
      </c>
      <c r="C80" s="58">
        <v>0.17116437941908769</v>
      </c>
    </row>
    <row r="83" spans="1:6" x14ac:dyDescent="0.2">
      <c r="F83">
        <v>100</v>
      </c>
    </row>
    <row r="85" spans="1:6" x14ac:dyDescent="0.2">
      <c r="B85">
        <v>0</v>
      </c>
      <c r="C85">
        <v>25</v>
      </c>
      <c r="D85">
        <v>50</v>
      </c>
      <c r="E85">
        <v>75</v>
      </c>
    </row>
    <row r="86" spans="1:6" x14ac:dyDescent="0.2">
      <c r="A86" t="s">
        <v>292</v>
      </c>
      <c r="B86" s="68">
        <v>-107308510.03655508</v>
      </c>
      <c r="C86" s="68">
        <v>-109375098.39700012</v>
      </c>
      <c r="D86" s="68">
        <v>-110716459.40994963</v>
      </c>
      <c r="E86" s="68">
        <v>-112278669.08094205</v>
      </c>
    </row>
    <row r="87" spans="1:6" x14ac:dyDescent="0.2">
      <c r="A87" t="s">
        <v>294</v>
      </c>
      <c r="B87" s="68">
        <v>-16560722.357141871</v>
      </c>
      <c r="C87" s="68">
        <v>-15872711.437099159</v>
      </c>
      <c r="D87" s="68">
        <v>-15375584.893938335</v>
      </c>
      <c r="E87" s="68">
        <v>-13826652.648190729</v>
      </c>
    </row>
    <row r="88" spans="1:6" x14ac:dyDescent="0.2">
      <c r="A88" t="s">
        <v>293</v>
      </c>
      <c r="B88" s="68">
        <v>-38829500.063998409</v>
      </c>
      <c r="C88" s="68">
        <v>-36103941.550945319</v>
      </c>
      <c r="D88" s="68">
        <v>-32110734.817510232</v>
      </c>
      <c r="E88" s="68">
        <v>-27231682.843259655</v>
      </c>
    </row>
    <row r="89" spans="1:6" x14ac:dyDescent="0.2">
      <c r="A89" t="s">
        <v>338</v>
      </c>
      <c r="B89" s="68">
        <v>-5429526.858463902</v>
      </c>
      <c r="C89" s="68">
        <v>-5248315.865549596</v>
      </c>
      <c r="D89" s="68">
        <v>-5206758.3015611377</v>
      </c>
      <c r="E89" s="68">
        <v>-5141802.1526805032</v>
      </c>
    </row>
    <row r="90" spans="1:6" x14ac:dyDescent="0.2">
      <c r="A90" t="s">
        <v>337</v>
      </c>
      <c r="B90" s="68">
        <v>-8714401.453897588</v>
      </c>
      <c r="C90" s="68">
        <v>-8797157.5017155297</v>
      </c>
      <c r="D90" s="68">
        <v>-8885383.3998266496</v>
      </c>
      <c r="E90" s="68">
        <v>-9021187.7335882112</v>
      </c>
    </row>
    <row r="91" spans="1:6" x14ac:dyDescent="0.2">
      <c r="B91" s="68">
        <f>SUM(B86:B90)</f>
        <v>-176842660.77005687</v>
      </c>
      <c r="C91" s="68">
        <f>SUM(C86:C90)</f>
        <v>-175397224.75230974</v>
      </c>
      <c r="D91" s="68">
        <f t="shared" ref="D91:E91" si="5">SUM(D86:D90)</f>
        <v>-172294920.822786</v>
      </c>
      <c r="E91" s="68">
        <f t="shared" si="5"/>
        <v>-167499994.45866117</v>
      </c>
    </row>
  </sheetData>
  <conditionalFormatting sqref="F34:H35 H36 F37:H38 F35:F3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H35 F37:H38 H36 F35:F3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H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6:E8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7:E8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8:E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:E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:E9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:E9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I6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J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65"/>
  <sheetViews>
    <sheetView zoomScale="80" zoomScaleNormal="80" workbookViewId="0">
      <selection activeCell="P32" sqref="P32"/>
    </sheetView>
  </sheetViews>
  <sheetFormatPr defaultRowHeight="12" x14ac:dyDescent="0.2"/>
  <cols>
    <col min="1" max="1" width="12.42578125" style="2" bestFit="1" customWidth="1"/>
    <col min="2" max="2" width="11.7109375" style="2" bestFit="1" customWidth="1"/>
    <col min="3" max="4" width="17.7109375" style="58" bestFit="1" customWidth="1"/>
    <col min="5" max="5" width="13.140625" style="2" bestFit="1" customWidth="1"/>
    <col min="6" max="6" width="16.42578125" style="58" bestFit="1" customWidth="1"/>
    <col min="7" max="7" width="13.140625" style="2" bestFit="1" customWidth="1"/>
    <col min="8" max="8" width="13.7109375" style="2" bestFit="1" customWidth="1"/>
    <col min="9" max="9" width="16.42578125" style="58" bestFit="1" customWidth="1"/>
    <col min="10" max="10" width="13.140625" style="2" bestFit="1" customWidth="1"/>
    <col min="11" max="11" width="17.7109375" style="58" bestFit="1" customWidth="1"/>
    <col min="12" max="12" width="13.140625" style="2" bestFit="1" customWidth="1"/>
    <col min="13" max="13" width="13.7109375" style="2" bestFit="1" customWidth="1"/>
    <col min="14" max="14" width="17.140625" style="58" bestFit="1" customWidth="1"/>
  </cols>
  <sheetData>
    <row r="1" spans="1:14" x14ac:dyDescent="0.2">
      <c r="A1" s="2" t="s">
        <v>299</v>
      </c>
      <c r="B1" s="2" t="s">
        <v>300</v>
      </c>
      <c r="C1" s="58" t="s">
        <v>295</v>
      </c>
      <c r="D1" s="58" t="s">
        <v>296</v>
      </c>
      <c r="E1" s="6" t="s">
        <v>104</v>
      </c>
      <c r="F1" s="58" t="s">
        <v>298</v>
      </c>
      <c r="G1" s="9" t="s">
        <v>104</v>
      </c>
      <c r="H1" s="9" t="s">
        <v>105</v>
      </c>
      <c r="I1" s="58" t="s">
        <v>297</v>
      </c>
      <c r="J1" s="6" t="s">
        <v>104</v>
      </c>
      <c r="K1" s="58" t="s">
        <v>339</v>
      </c>
      <c r="L1" s="9" t="s">
        <v>104</v>
      </c>
      <c r="M1" s="9" t="s">
        <v>105</v>
      </c>
      <c r="N1" s="58" t="s">
        <v>301</v>
      </c>
    </row>
    <row r="2" spans="1:14" x14ac:dyDescent="0.2">
      <c r="A2" s="2">
        <v>50</v>
      </c>
      <c r="B2" s="2">
        <v>32</v>
      </c>
      <c r="C2" s="58">
        <v>1540115714.9387131</v>
      </c>
      <c r="D2" s="58">
        <v>-93759351.01214388</v>
      </c>
      <c r="E2" s="2">
        <v>159.57975769042969</v>
      </c>
      <c r="F2" s="58">
        <v>-25579808.83880388</v>
      </c>
      <c r="G2" s="2">
        <v>39.124973297119141</v>
      </c>
      <c r="H2" s="2">
        <v>78.7559814453125</v>
      </c>
      <c r="I2" s="58">
        <v>-33681248.285022691</v>
      </c>
      <c r="J2" s="2">
        <v>164228</v>
      </c>
      <c r="K2" s="58">
        <v>-9945219.8567056563</v>
      </c>
      <c r="L2" s="2">
        <v>120.28726196289062</v>
      </c>
      <c r="M2" s="2">
        <v>7.3553825378417967E-2</v>
      </c>
      <c r="N2" s="58">
        <v>-162965627.99267614</v>
      </c>
    </row>
    <row r="3" spans="1:14" x14ac:dyDescent="0.2">
      <c r="A3" s="2">
        <v>50</v>
      </c>
      <c r="B3" s="2">
        <v>34</v>
      </c>
      <c r="C3" s="58">
        <v>1552136637.1359348</v>
      </c>
      <c r="D3" s="58">
        <v>-93291176.849165037</v>
      </c>
      <c r="E3" s="2">
        <v>158.06938171386719</v>
      </c>
      <c r="F3" s="58">
        <v>-25507259.927073672</v>
      </c>
      <c r="G3" s="2">
        <v>40.014091491699219</v>
      </c>
      <c r="H3" s="2">
        <v>80.230827331542969</v>
      </c>
      <c r="I3" s="58">
        <v>-34992480.739206448</v>
      </c>
      <c r="J3" s="2">
        <v>164228</v>
      </c>
      <c r="K3" s="58">
        <v>-9930407.5893285926</v>
      </c>
      <c r="L3" s="2">
        <v>120.27493286132812</v>
      </c>
      <c r="M3" s="2">
        <v>7.3783905029296881E-2</v>
      </c>
      <c r="N3" s="58">
        <v>-163721325.10477376</v>
      </c>
    </row>
    <row r="4" spans="1:14" x14ac:dyDescent="0.2">
      <c r="A4" s="2">
        <v>50</v>
      </c>
      <c r="B4" s="2">
        <v>36</v>
      </c>
      <c r="C4" s="58">
        <v>1552000844.4515352</v>
      </c>
      <c r="D4" s="58">
        <v>-93581342.17031993</v>
      </c>
      <c r="E4" s="2">
        <v>157.94381713867187</v>
      </c>
      <c r="F4" s="58">
        <v>-25478327.085942205</v>
      </c>
      <c r="G4" s="2">
        <v>40.065208435058594</v>
      </c>
      <c r="H4" s="2">
        <v>80.334510803222656</v>
      </c>
      <c r="I4" s="58">
        <v>-35126241.877786487</v>
      </c>
      <c r="J4" s="2">
        <v>164228</v>
      </c>
      <c r="K4" s="58">
        <v>-9929239.401614368</v>
      </c>
      <c r="L4" s="2">
        <v>120.27447509765625</v>
      </c>
      <c r="M4" s="2">
        <v>7.3802017211914067E-2</v>
      </c>
      <c r="N4" s="58">
        <v>-164115150.53566301</v>
      </c>
    </row>
    <row r="5" spans="1:14" x14ac:dyDescent="0.2">
      <c r="A5" s="2">
        <v>50</v>
      </c>
      <c r="B5" s="2">
        <v>38</v>
      </c>
      <c r="C5" s="58">
        <v>1551957157.5603714</v>
      </c>
      <c r="D5" s="58">
        <v>-93593131.539880022</v>
      </c>
      <c r="E5" s="2">
        <v>157.94413757324219</v>
      </c>
      <c r="F5" s="58">
        <v>-25477189.82337191</v>
      </c>
      <c r="G5" s="2">
        <v>40.066600799560547</v>
      </c>
      <c r="H5" s="2">
        <v>80.343757629394531</v>
      </c>
      <c r="I5" s="58">
        <v>-35131801.532314815</v>
      </c>
      <c r="J5" s="2">
        <v>164228</v>
      </c>
      <c r="K5" s="58">
        <v>-9929312.8678714782</v>
      </c>
      <c r="L5" s="2">
        <v>120.27364349365234</v>
      </c>
      <c r="M5" s="2">
        <v>7.3801116943359377E-2</v>
      </c>
      <c r="N5" s="58">
        <v>-164131435.76343822</v>
      </c>
    </row>
    <row r="6" spans="1:14" x14ac:dyDescent="0.2">
      <c r="A6" s="2">
        <v>50</v>
      </c>
      <c r="B6" s="2">
        <v>40</v>
      </c>
      <c r="C6" s="58">
        <v>1551995202.5953026</v>
      </c>
      <c r="D6" s="58">
        <v>-93584149.852670804</v>
      </c>
      <c r="E6" s="2">
        <v>157.95050048828125</v>
      </c>
      <c r="F6" s="58">
        <v>-25477320.493784513</v>
      </c>
      <c r="G6" s="2">
        <v>40.066337585449219</v>
      </c>
      <c r="H6" s="2">
        <v>80.344322204589844</v>
      </c>
      <c r="I6" s="58">
        <v>-35127480.714927308</v>
      </c>
      <c r="J6" s="2">
        <v>164228</v>
      </c>
      <c r="K6" s="58">
        <v>-9929262.697164299</v>
      </c>
      <c r="L6" s="2">
        <v>120.27384948730469</v>
      </c>
      <c r="M6" s="2">
        <v>7.3801719665527343E-2</v>
      </c>
      <c r="N6" s="58">
        <v>-164118213.75854692</v>
      </c>
    </row>
    <row r="7" spans="1:14" x14ac:dyDescent="0.2">
      <c r="A7" s="2">
        <v>50</v>
      </c>
      <c r="B7" s="2">
        <v>42</v>
      </c>
      <c r="C7" s="58">
        <v>1551905440.6056604</v>
      </c>
      <c r="D7" s="58">
        <v>-93560117.274467796</v>
      </c>
      <c r="E7" s="2">
        <v>157.95993041992187</v>
      </c>
      <c r="F7" s="58">
        <v>-25480597.883221421</v>
      </c>
      <c r="G7" s="2">
        <v>40.060077667236328</v>
      </c>
      <c r="H7" s="2">
        <v>80.335906982421875</v>
      </c>
      <c r="I7" s="58">
        <v>-35116418.956910282</v>
      </c>
      <c r="J7" s="2">
        <v>164228</v>
      </c>
      <c r="K7" s="58">
        <v>-9929320.2232290264</v>
      </c>
      <c r="L7" s="2">
        <v>120.27459716796875</v>
      </c>
      <c r="M7" s="2">
        <v>7.3800666809082024E-2</v>
      </c>
      <c r="N7" s="58">
        <v>-164086454.33782852</v>
      </c>
    </row>
    <row r="8" spans="1:14" x14ac:dyDescent="0.2">
      <c r="A8" s="2">
        <v>50</v>
      </c>
      <c r="B8" s="2">
        <v>44</v>
      </c>
      <c r="C8" s="58">
        <v>1551841354.8414202</v>
      </c>
      <c r="D8" s="58">
        <v>-93487033.038090721</v>
      </c>
      <c r="E8" s="2">
        <v>157.98611450195313</v>
      </c>
      <c r="F8" s="58">
        <v>-25487701.08190731</v>
      </c>
      <c r="G8" s="2">
        <v>40.047161102294922</v>
      </c>
      <c r="H8" s="2">
        <v>80.314369201660156</v>
      </c>
      <c r="I8" s="58">
        <v>-35085410.932420008</v>
      </c>
      <c r="J8" s="2">
        <v>164228</v>
      </c>
      <c r="K8" s="58">
        <v>-9929609.3900487516</v>
      </c>
      <c r="L8" s="2">
        <v>120.27418518066406</v>
      </c>
      <c r="M8" s="2">
        <v>7.3796340942382813E-2</v>
      </c>
      <c r="N8" s="58">
        <v>-163989754.4424668</v>
      </c>
    </row>
    <row r="9" spans="1:14" x14ac:dyDescent="0.2">
      <c r="A9" s="2">
        <v>50</v>
      </c>
      <c r="B9" s="2">
        <v>46</v>
      </c>
      <c r="C9" s="58">
        <v>1552919664.0794506</v>
      </c>
      <c r="D9" s="58">
        <v>-93193976.292197406</v>
      </c>
      <c r="E9" s="2">
        <v>158.09745788574219</v>
      </c>
      <c r="F9" s="58">
        <v>-25496130.224184692</v>
      </c>
      <c r="G9" s="2">
        <v>40.033908843994141</v>
      </c>
      <c r="H9" s="2">
        <v>80.29052734375</v>
      </c>
      <c r="I9" s="58">
        <v>-34978711.751286574</v>
      </c>
      <c r="J9" s="2">
        <v>164228</v>
      </c>
      <c r="K9" s="58">
        <v>-9930554.2629939206</v>
      </c>
      <c r="L9" s="2">
        <v>120.27481842041016</v>
      </c>
      <c r="M9" s="2">
        <v>7.3781631469726563E-2</v>
      </c>
      <c r="N9" s="58">
        <v>-163599372.5306626</v>
      </c>
    </row>
    <row r="10" spans="1:14" x14ac:dyDescent="0.2">
      <c r="A10" s="2">
        <v>51</v>
      </c>
      <c r="B10" s="2">
        <v>31</v>
      </c>
      <c r="C10" s="58">
        <v>1511486002.2278185</v>
      </c>
      <c r="D10" s="58">
        <v>-92586531.19941777</v>
      </c>
      <c r="E10" s="2">
        <v>161.89642333984375</v>
      </c>
      <c r="F10" s="58">
        <v>-25854955.835223287</v>
      </c>
      <c r="G10" s="2">
        <v>37.646411895751953</v>
      </c>
      <c r="H10" s="2">
        <v>76.01947021484375</v>
      </c>
      <c r="I10" s="58">
        <v>-33426171.797369786</v>
      </c>
      <c r="J10" s="2">
        <v>164228</v>
      </c>
      <c r="K10" s="58">
        <v>-9967974.3656633273</v>
      </c>
      <c r="L10" s="2">
        <v>120.29607391357422</v>
      </c>
      <c r="M10" s="2">
        <v>7.3205627441406254E-2</v>
      </c>
      <c r="N10" s="58">
        <v>-161835633.19767416</v>
      </c>
    </row>
    <row r="11" spans="1:14" x14ac:dyDescent="0.2">
      <c r="A11" s="2">
        <v>51</v>
      </c>
      <c r="B11" s="2">
        <v>33</v>
      </c>
      <c r="C11" s="58">
        <v>1548637912.4279566</v>
      </c>
      <c r="D11" s="58">
        <v>-94645721.886885107</v>
      </c>
      <c r="E11" s="2">
        <v>158.03883361816406</v>
      </c>
      <c r="F11" s="58">
        <v>-25519837.651352562</v>
      </c>
      <c r="G11" s="2">
        <v>39.996356964111328</v>
      </c>
      <c r="H11" s="2">
        <v>80.11962890625</v>
      </c>
      <c r="I11" s="58">
        <v>-35338205.967641413</v>
      </c>
      <c r="J11" s="2">
        <v>164228</v>
      </c>
      <c r="K11" s="58">
        <v>-9929850.4452001099</v>
      </c>
      <c r="L11" s="2">
        <v>120.2733154296875</v>
      </c>
      <c r="M11" s="2">
        <v>7.3792869567871094E-2</v>
      </c>
      <c r="N11" s="58">
        <v>-165433615.95107919</v>
      </c>
    </row>
    <row r="12" spans="1:14" x14ac:dyDescent="0.2">
      <c r="A12" s="2">
        <v>51</v>
      </c>
      <c r="B12" s="2">
        <v>35</v>
      </c>
      <c r="C12" s="58">
        <v>1549830368.1281137</v>
      </c>
      <c r="D12" s="58">
        <v>-95511632.417247012</v>
      </c>
      <c r="E12" s="2">
        <v>157.64237976074219</v>
      </c>
      <c r="F12" s="58">
        <v>-25417530.210213572</v>
      </c>
      <c r="G12" s="2">
        <v>40.179603576660156</v>
      </c>
      <c r="H12" s="2">
        <v>80.49053955078125</v>
      </c>
      <c r="I12" s="58">
        <v>-35573417.97933992</v>
      </c>
      <c r="J12" s="2">
        <v>164228</v>
      </c>
      <c r="K12" s="58">
        <v>-9926415.1286874861</v>
      </c>
      <c r="L12" s="2">
        <v>120.27212524414062</v>
      </c>
      <c r="M12" s="2">
        <v>7.38460693359375E-2</v>
      </c>
      <c r="N12" s="58">
        <v>-166428995.735488</v>
      </c>
    </row>
    <row r="13" spans="1:14" x14ac:dyDescent="0.2">
      <c r="A13" s="2">
        <v>51</v>
      </c>
      <c r="B13" s="2">
        <v>37</v>
      </c>
      <c r="C13" s="58">
        <v>1550955615.715971</v>
      </c>
      <c r="D13" s="58">
        <v>-95577923.947001457</v>
      </c>
      <c r="E13" s="2">
        <v>157.63088989257812</v>
      </c>
      <c r="F13" s="58">
        <v>-25396164.716223914</v>
      </c>
      <c r="G13" s="2">
        <v>40.219524383544922</v>
      </c>
      <c r="H13" s="2">
        <v>80.569503784179688</v>
      </c>
      <c r="I13" s="58">
        <v>-35603388.308861069</v>
      </c>
      <c r="J13" s="2">
        <v>164228</v>
      </c>
      <c r="K13" s="58">
        <v>-9926244.6836250164</v>
      </c>
      <c r="L13" s="2">
        <v>120.27182769775391</v>
      </c>
      <c r="M13" s="2">
        <v>7.3848777770996091E-2</v>
      </c>
      <c r="N13" s="58">
        <v>-166503721.65571144</v>
      </c>
    </row>
    <row r="14" spans="1:14" x14ac:dyDescent="0.2">
      <c r="A14" s="2">
        <v>51</v>
      </c>
      <c r="B14" s="2">
        <v>39</v>
      </c>
      <c r="C14" s="58">
        <v>1551424053.6964083</v>
      </c>
      <c r="D14" s="58">
        <v>-95585379.767763138</v>
      </c>
      <c r="E14" s="2">
        <v>157.63632202148437</v>
      </c>
      <c r="F14" s="58">
        <v>-25388718.14508611</v>
      </c>
      <c r="G14" s="2">
        <v>40.233673095703125</v>
      </c>
      <c r="H14" s="2">
        <v>80.596572875976563</v>
      </c>
      <c r="I14" s="58">
        <v>-35611182.276393406</v>
      </c>
      <c r="J14" s="2">
        <v>164228</v>
      </c>
      <c r="K14" s="58">
        <v>-9926267.9260417353</v>
      </c>
      <c r="L14" s="2">
        <v>120.27127075195312</v>
      </c>
      <c r="M14" s="2">
        <v>7.3848533630371097E-2</v>
      </c>
      <c r="N14" s="58">
        <v>-166511548.11528438</v>
      </c>
    </row>
    <row r="15" spans="1:14" x14ac:dyDescent="0.2">
      <c r="A15" s="2">
        <v>51</v>
      </c>
      <c r="B15" s="2">
        <v>41</v>
      </c>
      <c r="C15" s="58">
        <v>1551608690.1909332</v>
      </c>
      <c r="D15" s="58">
        <v>-95585089.234137416</v>
      </c>
      <c r="E15" s="2">
        <v>157.64082336425781</v>
      </c>
      <c r="F15" s="58">
        <v>-25385837.549497556</v>
      </c>
      <c r="G15" s="2">
        <v>40.239109039306641</v>
      </c>
      <c r="H15" s="2">
        <v>80.607566833496094</v>
      </c>
      <c r="I15" s="58">
        <v>-35615124.668463781</v>
      </c>
      <c r="J15" s="2">
        <v>164228</v>
      </c>
      <c r="K15" s="58">
        <v>-9926291.3416401576</v>
      </c>
      <c r="L15" s="2">
        <v>120.27088928222656</v>
      </c>
      <c r="M15" s="2">
        <v>7.3848251342773438E-2</v>
      </c>
      <c r="N15" s="58">
        <v>-166512342.7937389</v>
      </c>
    </row>
    <row r="16" spans="1:14" x14ac:dyDescent="0.2">
      <c r="A16" s="2">
        <v>51</v>
      </c>
      <c r="B16" s="2">
        <v>43</v>
      </c>
      <c r="C16" s="58">
        <v>1551784582.5971031</v>
      </c>
      <c r="D16" s="58">
        <v>-95576551.213963076</v>
      </c>
      <c r="E16" s="2">
        <v>157.64533996582031</v>
      </c>
      <c r="F16" s="58">
        <v>-25383940.342713881</v>
      </c>
      <c r="G16" s="2">
        <v>40.242923736572266</v>
      </c>
      <c r="H16" s="2">
        <v>80.613761901855469</v>
      </c>
      <c r="I16" s="58">
        <v>-35617031.106648237</v>
      </c>
      <c r="J16" s="2">
        <v>164228</v>
      </c>
      <c r="K16" s="58">
        <v>-9926307.4504352268</v>
      </c>
      <c r="L16" s="2">
        <v>120.27134704589844</v>
      </c>
      <c r="M16" s="2">
        <v>7.3847915649414064E-2</v>
      </c>
      <c r="N16" s="58">
        <v>-166503830.11376041</v>
      </c>
    </row>
    <row r="17" spans="1:14" x14ac:dyDescent="0.2">
      <c r="A17" s="2">
        <v>51</v>
      </c>
      <c r="B17" s="2">
        <v>45</v>
      </c>
      <c r="C17" s="58">
        <v>1551831421.1889381</v>
      </c>
      <c r="D17" s="58">
        <v>-95539460.416628629</v>
      </c>
      <c r="E17" s="2">
        <v>157.66400146484375</v>
      </c>
      <c r="F17" s="58">
        <v>-25386158.860974953</v>
      </c>
      <c r="G17" s="2">
        <v>40.239341735839844</v>
      </c>
      <c r="H17" s="2">
        <v>80.604667663574219</v>
      </c>
      <c r="I17" s="58">
        <v>-35619028.845560797</v>
      </c>
      <c r="J17" s="2">
        <v>164228</v>
      </c>
      <c r="K17" s="58">
        <v>-9926482.495862551</v>
      </c>
      <c r="L17" s="2">
        <v>120.27126312255859</v>
      </c>
      <c r="M17" s="2">
        <v>7.3845237731933591E-2</v>
      </c>
      <c r="N17" s="58">
        <v>-166471130.61902693</v>
      </c>
    </row>
    <row r="18" spans="1:14" x14ac:dyDescent="0.2">
      <c r="A18" s="2">
        <v>51</v>
      </c>
      <c r="B18" s="2">
        <v>47</v>
      </c>
      <c r="C18" s="58">
        <v>1551901954.1579685</v>
      </c>
      <c r="D18" s="58">
        <v>-95378863.040405348</v>
      </c>
      <c r="E18" s="2">
        <v>157.74003601074219</v>
      </c>
      <c r="F18" s="58">
        <v>-25396885.593748178</v>
      </c>
      <c r="G18" s="2">
        <v>40.221736907958984</v>
      </c>
      <c r="H18" s="2">
        <v>80.559585571289063</v>
      </c>
      <c r="I18" s="58">
        <v>-35650718.496550351</v>
      </c>
      <c r="J18" s="2">
        <v>164228</v>
      </c>
      <c r="K18" s="58">
        <v>-9927133.1495912597</v>
      </c>
      <c r="L18" s="2">
        <v>120.27069091796875</v>
      </c>
      <c r="M18" s="2">
        <v>7.3835296630859373E-2</v>
      </c>
      <c r="N18" s="58">
        <v>-166353600.28029513</v>
      </c>
    </row>
    <row r="19" spans="1:14" x14ac:dyDescent="0.2">
      <c r="A19" s="2">
        <v>52</v>
      </c>
      <c r="B19" s="2">
        <v>32</v>
      </c>
      <c r="C19" s="58">
        <v>1542232295.4295282</v>
      </c>
      <c r="D19" s="58">
        <v>-98121092.126913756</v>
      </c>
      <c r="E19" s="2">
        <v>158.83981323242187</v>
      </c>
      <c r="F19" s="58">
        <v>-25653296.440972313</v>
      </c>
      <c r="G19" s="2">
        <v>39.771465301513672</v>
      </c>
      <c r="H19" s="2">
        <v>79.583343505859375</v>
      </c>
      <c r="I19" s="58">
        <v>-36028016.922389328</v>
      </c>
      <c r="J19" s="2">
        <v>164228</v>
      </c>
      <c r="K19" s="58">
        <v>-9936791.5016459655</v>
      </c>
      <c r="L19" s="2">
        <v>120.27681732177734</v>
      </c>
      <c r="M19" s="2">
        <v>7.368534088134765E-2</v>
      </c>
      <c r="N19" s="58">
        <v>-169739196.99192134</v>
      </c>
    </row>
    <row r="20" spans="1:14" x14ac:dyDescent="0.2">
      <c r="A20" s="2">
        <v>52</v>
      </c>
      <c r="B20" s="2">
        <v>34</v>
      </c>
      <c r="C20" s="58">
        <v>1550193278.0924206</v>
      </c>
      <c r="D20" s="58">
        <v>-97144528.877680734</v>
      </c>
      <c r="E20" s="2">
        <v>157.52763366699219</v>
      </c>
      <c r="F20" s="58">
        <v>-25350896.161868729</v>
      </c>
      <c r="G20" s="2">
        <v>40.309772491455078</v>
      </c>
      <c r="H20" s="2">
        <v>80.67474365234375</v>
      </c>
      <c r="I20" s="58">
        <v>-36077528.030668825</v>
      </c>
      <c r="J20" s="2">
        <v>164228</v>
      </c>
      <c r="K20" s="58">
        <v>-9925130.3818635065</v>
      </c>
      <c r="L20" s="2">
        <v>120.27028656005859</v>
      </c>
      <c r="M20" s="2">
        <v>7.3866294860839843E-2</v>
      </c>
      <c r="N20" s="58">
        <v>-168498083.4520818</v>
      </c>
    </row>
    <row r="21" spans="1:14" x14ac:dyDescent="0.2">
      <c r="A21" s="2">
        <v>52</v>
      </c>
      <c r="B21" s="2">
        <v>36</v>
      </c>
      <c r="C21" s="58">
        <v>1550693970.062623</v>
      </c>
      <c r="D21" s="58">
        <v>-97306654.629901618</v>
      </c>
      <c r="E21" s="2">
        <v>157.45849609375</v>
      </c>
      <c r="F21" s="58">
        <v>-25330175.628517348</v>
      </c>
      <c r="G21" s="2">
        <v>40.346237182617188</v>
      </c>
      <c r="H21" s="2">
        <v>80.763267517089844</v>
      </c>
      <c r="I21" s="58">
        <v>-36072889.258975543</v>
      </c>
      <c r="J21" s="2">
        <v>164228</v>
      </c>
      <c r="K21" s="58">
        <v>-9924509.661481956</v>
      </c>
      <c r="L21" s="2">
        <v>120.26959991455078</v>
      </c>
      <c r="M21" s="2">
        <v>7.3876022338867184E-2</v>
      </c>
      <c r="N21" s="58">
        <v>-168634229.17887646</v>
      </c>
    </row>
    <row r="22" spans="1:14" x14ac:dyDescent="0.2">
      <c r="A22" s="2">
        <v>52</v>
      </c>
      <c r="B22" s="2">
        <v>38</v>
      </c>
      <c r="C22" s="58">
        <v>1550768010.1154909</v>
      </c>
      <c r="D22" s="58">
        <v>-97315019.518764734</v>
      </c>
      <c r="E22" s="2">
        <v>157.46014404296875</v>
      </c>
      <c r="F22" s="58">
        <v>-25328263.641183212</v>
      </c>
      <c r="G22" s="2">
        <v>40.349235534667969</v>
      </c>
      <c r="H22" s="2">
        <v>80.77459716796875</v>
      </c>
      <c r="I22" s="58">
        <v>-36072961.982053541</v>
      </c>
      <c r="J22" s="2">
        <v>164228</v>
      </c>
      <c r="K22" s="58">
        <v>-9924509.9924120624</v>
      </c>
      <c r="L22" s="2">
        <v>120.26937103271484</v>
      </c>
      <c r="M22" s="2">
        <v>7.3876045227050782E-2</v>
      </c>
      <c r="N22" s="58">
        <v>-168640755.13441354</v>
      </c>
    </row>
    <row r="23" spans="1:14" x14ac:dyDescent="0.2">
      <c r="A23" s="2">
        <v>52</v>
      </c>
      <c r="B23" s="2">
        <v>40</v>
      </c>
      <c r="C23" s="58">
        <v>1550816027.6227398</v>
      </c>
      <c r="D23" s="58">
        <v>-97315988.650189221</v>
      </c>
      <c r="E23" s="2">
        <v>157.46266174316406</v>
      </c>
      <c r="F23" s="58">
        <v>-25327325.108265504</v>
      </c>
      <c r="G23" s="2">
        <v>40.350803375244141</v>
      </c>
      <c r="H23" s="2">
        <v>80.779884338378906</v>
      </c>
      <c r="I23" s="58">
        <v>-36074803.890088275</v>
      </c>
      <c r="J23" s="2">
        <v>164228</v>
      </c>
      <c r="K23" s="58">
        <v>-9924499.6390221491</v>
      </c>
      <c r="L23" s="2">
        <v>120.26985168457031</v>
      </c>
      <c r="M23" s="2">
        <v>7.3876098632812498E-2</v>
      </c>
      <c r="N23" s="58">
        <v>-168642617.28756514</v>
      </c>
    </row>
    <row r="24" spans="1:14" x14ac:dyDescent="0.2">
      <c r="A24" s="2">
        <v>52</v>
      </c>
      <c r="B24" s="2">
        <v>42</v>
      </c>
      <c r="C24" s="58">
        <v>1550870692.1055937</v>
      </c>
      <c r="D24" s="58">
        <v>-97315754.093450695</v>
      </c>
      <c r="E24" s="2">
        <v>157.46568298339844</v>
      </c>
      <c r="F24" s="58">
        <v>-25326409.964024555</v>
      </c>
      <c r="G24" s="2">
        <v>40.352466583251953</v>
      </c>
      <c r="H24" s="2">
        <v>80.78411865234375</v>
      </c>
      <c r="I24" s="58">
        <v>-36078360.068273656</v>
      </c>
      <c r="J24" s="2">
        <v>164228</v>
      </c>
      <c r="K24" s="58">
        <v>-9924572.5016817134</v>
      </c>
      <c r="L24" s="2">
        <v>120.26921844482422</v>
      </c>
      <c r="M24" s="2">
        <v>7.3875122070312493E-2</v>
      </c>
      <c r="N24" s="58">
        <v>-168645096.62743062</v>
      </c>
    </row>
    <row r="25" spans="1:14" x14ac:dyDescent="0.2">
      <c r="A25" s="2">
        <v>52</v>
      </c>
      <c r="B25" s="2">
        <v>44</v>
      </c>
      <c r="C25" s="58">
        <v>1550933184.9717817</v>
      </c>
      <c r="D25" s="58">
        <v>-97312763.199900582</v>
      </c>
      <c r="E25" s="2">
        <v>157.46969604492187</v>
      </c>
      <c r="F25" s="58">
        <v>-25325663.779460695</v>
      </c>
      <c r="G25" s="2">
        <v>40.354148864746094</v>
      </c>
      <c r="H25" s="2">
        <v>80.785202026367188</v>
      </c>
      <c r="I25" s="58">
        <v>-36088049.429185145</v>
      </c>
      <c r="J25" s="2">
        <v>164228</v>
      </c>
      <c r="K25" s="58">
        <v>-9924553.5392194018</v>
      </c>
      <c r="L25" s="2">
        <v>120.26959991455078</v>
      </c>
      <c r="M25" s="2">
        <v>7.3875328063964837E-2</v>
      </c>
      <c r="N25" s="58">
        <v>-168651029.94776583</v>
      </c>
    </row>
    <row r="26" spans="1:14" x14ac:dyDescent="0.2">
      <c r="A26" s="2">
        <v>52</v>
      </c>
      <c r="B26" s="2">
        <v>46</v>
      </c>
      <c r="C26" s="58">
        <v>1550722822.1916714</v>
      </c>
      <c r="D26" s="58">
        <v>-97293471.580273852</v>
      </c>
      <c r="E26" s="2">
        <v>157.49024963378906</v>
      </c>
      <c r="F26" s="58">
        <v>-25331027.706002142</v>
      </c>
      <c r="G26" s="2">
        <v>40.344673156738281</v>
      </c>
      <c r="H26" s="2">
        <v>80.76287841796875</v>
      </c>
      <c r="I26" s="58">
        <v>-36124927.716797516</v>
      </c>
      <c r="J26" s="2">
        <v>164228</v>
      </c>
      <c r="K26" s="58">
        <v>-9924733.6108414736</v>
      </c>
      <c r="L26" s="2">
        <v>120.26909637451172</v>
      </c>
      <c r="M26" s="2">
        <v>7.387262725830078E-2</v>
      </c>
      <c r="N26" s="58">
        <v>-168674160.613915</v>
      </c>
    </row>
    <row r="27" spans="1:14" x14ac:dyDescent="0.2">
      <c r="A27" s="2">
        <v>53</v>
      </c>
      <c r="B27" s="2">
        <v>31</v>
      </c>
      <c r="C27" s="58">
        <v>1514269010.5636854</v>
      </c>
      <c r="D27" s="58">
        <v>-95537462.149140567</v>
      </c>
      <c r="E27" s="2">
        <v>161.66207885742187</v>
      </c>
      <c r="F27" s="58">
        <v>-26027600.312584344</v>
      </c>
      <c r="G27" s="2">
        <v>38.043952941894531</v>
      </c>
      <c r="H27" s="2">
        <v>76.426750183105469</v>
      </c>
      <c r="I27" s="58">
        <v>-34651885.808359094</v>
      </c>
      <c r="J27" s="2">
        <v>164228</v>
      </c>
      <c r="K27" s="58">
        <v>-9964213.9300416205</v>
      </c>
      <c r="L27" s="2">
        <v>120.29009246826172</v>
      </c>
      <c r="M27" s="2">
        <v>7.3263885498046868E-2</v>
      </c>
      <c r="N27" s="58">
        <v>-166181162.2001256</v>
      </c>
    </row>
    <row r="28" spans="1:14" x14ac:dyDescent="0.2">
      <c r="A28" s="2">
        <v>53</v>
      </c>
      <c r="B28" s="2">
        <v>33</v>
      </c>
      <c r="C28" s="58">
        <v>1547219883.8743372</v>
      </c>
      <c r="D28" s="58">
        <v>-98320900.978284568</v>
      </c>
      <c r="E28" s="2">
        <v>157.63760375976562</v>
      </c>
      <c r="F28" s="58">
        <v>-25372553.759050991</v>
      </c>
      <c r="G28" s="2">
        <v>40.276378631591797</v>
      </c>
      <c r="H28" s="2">
        <v>80.539421081542969</v>
      </c>
      <c r="I28" s="58">
        <v>-36572060.591761932</v>
      </c>
      <c r="J28" s="2">
        <v>164228</v>
      </c>
      <c r="K28" s="58">
        <v>-9925730.6679721177</v>
      </c>
      <c r="L28" s="2">
        <v>120.26828765869141</v>
      </c>
      <c r="M28" s="2">
        <v>7.3857444763183594E-2</v>
      </c>
      <c r="N28" s="58">
        <v>-170191245.99706963</v>
      </c>
    </row>
    <row r="29" spans="1:14" x14ac:dyDescent="0.2">
      <c r="A29" s="2">
        <v>53</v>
      </c>
      <c r="B29" s="2">
        <v>35</v>
      </c>
      <c r="C29" s="58">
        <v>1550688833.9959707</v>
      </c>
      <c r="D29" s="58">
        <v>-98814456.263853341</v>
      </c>
      <c r="E29" s="2">
        <v>157.37931823730469</v>
      </c>
      <c r="F29" s="58">
        <v>-25285275.868511051</v>
      </c>
      <c r="G29" s="2">
        <v>40.433704376220703</v>
      </c>
      <c r="H29" s="2">
        <v>80.898124694824219</v>
      </c>
      <c r="I29" s="58">
        <v>-36347381.271978326</v>
      </c>
      <c r="J29" s="2">
        <v>164228</v>
      </c>
      <c r="K29" s="58">
        <v>-9923601.3580833562</v>
      </c>
      <c r="L29" s="2">
        <v>120.26795196533203</v>
      </c>
      <c r="M29" s="2">
        <v>7.389033508300781E-2</v>
      </c>
      <c r="N29" s="58">
        <v>-170370714.76242608</v>
      </c>
    </row>
    <row r="30" spans="1:14" x14ac:dyDescent="0.2">
      <c r="A30" s="2">
        <v>53</v>
      </c>
      <c r="B30" s="2">
        <v>37</v>
      </c>
      <c r="C30" s="58">
        <v>1550074397.9541645</v>
      </c>
      <c r="D30" s="58">
        <v>-98826598.236888975</v>
      </c>
      <c r="E30" s="2">
        <v>157.36773681640625</v>
      </c>
      <c r="F30" s="58">
        <v>-25293008.342871968</v>
      </c>
      <c r="G30" s="2">
        <v>40.417301177978516</v>
      </c>
      <c r="H30" s="2">
        <v>80.880401611328125</v>
      </c>
      <c r="I30" s="58">
        <v>-36320296.6809249</v>
      </c>
      <c r="J30" s="2">
        <v>164228</v>
      </c>
      <c r="K30" s="58">
        <v>-9923614.0225357562</v>
      </c>
      <c r="L30" s="2">
        <v>120.26807403564453</v>
      </c>
      <c r="M30" s="2">
        <v>7.389020538330078E-2</v>
      </c>
      <c r="N30" s="58">
        <v>-170363517.2832216</v>
      </c>
    </row>
    <row r="31" spans="1:14" x14ac:dyDescent="0.2">
      <c r="A31" s="2">
        <v>53</v>
      </c>
      <c r="B31" s="2">
        <v>39</v>
      </c>
      <c r="C31" s="58">
        <v>1549711465.7837162</v>
      </c>
      <c r="D31" s="58">
        <v>-98821297.974052906</v>
      </c>
      <c r="E31" s="2">
        <v>157.36918640136719</v>
      </c>
      <c r="F31" s="58">
        <v>-25298211.442698337</v>
      </c>
      <c r="G31" s="2">
        <v>40.406585693359375</v>
      </c>
      <c r="H31" s="2">
        <v>80.866592407226563</v>
      </c>
      <c r="I31" s="58">
        <v>-36313353.533945076</v>
      </c>
      <c r="J31" s="2">
        <v>164228</v>
      </c>
      <c r="K31" s="58">
        <v>-9923624.4826153703</v>
      </c>
      <c r="L31" s="2">
        <v>120.26847839355469</v>
      </c>
      <c r="M31" s="2">
        <v>7.3889945983886721E-2</v>
      </c>
      <c r="N31" s="58">
        <v>-170356487.4333117</v>
      </c>
    </row>
    <row r="32" spans="1:14" x14ac:dyDescent="0.2">
      <c r="A32" s="2">
        <v>53</v>
      </c>
      <c r="B32" s="2">
        <v>41</v>
      </c>
      <c r="C32" s="58">
        <v>1549618493.9507484</v>
      </c>
      <c r="D32" s="58">
        <v>-98820239.46371901</v>
      </c>
      <c r="E32" s="2">
        <v>157.37132263183594</v>
      </c>
      <c r="F32" s="58">
        <v>-25299673.050819337</v>
      </c>
      <c r="G32" s="2">
        <v>40.403766632080078</v>
      </c>
      <c r="H32" s="2">
        <v>80.861503601074219</v>
      </c>
      <c r="I32" s="58">
        <v>-36313252.974445693</v>
      </c>
      <c r="J32" s="2">
        <v>164228</v>
      </c>
      <c r="K32" s="58">
        <v>-9923657.4472207632</v>
      </c>
      <c r="L32" s="2">
        <v>120.26841735839844</v>
      </c>
      <c r="M32" s="2">
        <v>7.3889457702636718E-2</v>
      </c>
      <c r="N32" s="58">
        <v>-170356822.93620482</v>
      </c>
    </row>
    <row r="33" spans="1:14" x14ac:dyDescent="0.2">
      <c r="A33" s="2">
        <v>53</v>
      </c>
      <c r="B33" s="2">
        <v>43</v>
      </c>
      <c r="C33" s="58">
        <v>1549507102.7260866</v>
      </c>
      <c r="D33" s="58">
        <v>-98818335.957245454</v>
      </c>
      <c r="E33" s="2">
        <v>157.3731689453125</v>
      </c>
      <c r="F33" s="58">
        <v>-25300923.692862418</v>
      </c>
      <c r="G33" s="2">
        <v>40.400951385498047</v>
      </c>
      <c r="H33" s="2">
        <v>80.860054016113281</v>
      </c>
      <c r="I33" s="58">
        <v>-36317057.303021826</v>
      </c>
      <c r="J33" s="2">
        <v>164228</v>
      </c>
      <c r="K33" s="58">
        <v>-9923648.786424553</v>
      </c>
      <c r="L33" s="2">
        <v>120.26831817626953</v>
      </c>
      <c r="M33" s="2">
        <v>7.3889617919921879E-2</v>
      </c>
      <c r="N33" s="58">
        <v>-170359965.73955426</v>
      </c>
    </row>
    <row r="34" spans="1:14" x14ac:dyDescent="0.2">
      <c r="A34" s="2">
        <v>53</v>
      </c>
      <c r="B34" s="2">
        <v>45</v>
      </c>
      <c r="C34" s="58">
        <v>1549472345.0809402</v>
      </c>
      <c r="D34" s="58">
        <v>-98814657.954142183</v>
      </c>
      <c r="E34" s="2">
        <v>157.37881469726562</v>
      </c>
      <c r="F34" s="58">
        <v>-25301565.747602582</v>
      </c>
      <c r="G34" s="2">
        <v>40.400241851806641</v>
      </c>
      <c r="H34" s="2">
        <v>80.85443115234375</v>
      </c>
      <c r="I34" s="58">
        <v>-36336010.217220403</v>
      </c>
      <c r="J34" s="2">
        <v>164228</v>
      </c>
      <c r="K34" s="58">
        <v>-9923716.179987533</v>
      </c>
      <c r="L34" s="2">
        <v>120.26800537109375</v>
      </c>
      <c r="M34" s="2">
        <v>7.3888618469238276E-2</v>
      </c>
      <c r="N34" s="58">
        <v>-170375950.09895268</v>
      </c>
    </row>
    <row r="35" spans="1:14" x14ac:dyDescent="0.2">
      <c r="A35" s="2">
        <v>54</v>
      </c>
      <c r="B35" s="2">
        <v>32</v>
      </c>
      <c r="C35" s="58">
        <v>1539459896.3722048</v>
      </c>
      <c r="D35" s="58">
        <v>-101874389.89982706</v>
      </c>
      <c r="E35" s="2">
        <v>158.49591064453125</v>
      </c>
      <c r="F35" s="58">
        <v>-25520724.928426124</v>
      </c>
      <c r="G35" s="2">
        <v>40.021976470947266</v>
      </c>
      <c r="H35" s="2">
        <v>79.9285888671875</v>
      </c>
      <c r="I35" s="58">
        <v>-37448405.612399697</v>
      </c>
      <c r="J35" s="2">
        <v>164228</v>
      </c>
      <c r="K35" s="58">
        <v>-9933087.3137766309</v>
      </c>
      <c r="L35" s="2">
        <v>120.27164459228516</v>
      </c>
      <c r="M35" s="2">
        <v>7.3743347167968751E-2</v>
      </c>
      <c r="N35" s="58">
        <v>-174776607.75442952</v>
      </c>
    </row>
    <row r="36" spans="1:14" x14ac:dyDescent="0.2">
      <c r="A36" s="2">
        <v>54</v>
      </c>
      <c r="B36" s="2">
        <v>34</v>
      </c>
      <c r="C36" s="58">
        <v>1547656884.2762384</v>
      </c>
      <c r="D36" s="58">
        <v>-100107562.89526087</v>
      </c>
      <c r="E36" s="2">
        <v>157.3636474609375</v>
      </c>
      <c r="F36" s="58">
        <v>-25301906.192383856</v>
      </c>
      <c r="G36" s="2">
        <v>40.403289794921875</v>
      </c>
      <c r="H36" s="2">
        <v>80.819854736328125</v>
      </c>
      <c r="I36" s="58">
        <v>-36515962.761619195</v>
      </c>
      <c r="J36" s="2">
        <v>164228</v>
      </c>
      <c r="K36" s="58">
        <v>-9923495.2729903478</v>
      </c>
      <c r="L36" s="2">
        <v>120.26904296875</v>
      </c>
      <c r="M36" s="2">
        <v>7.3891792297363285E-2</v>
      </c>
      <c r="N36" s="58">
        <v>-171848927.12225425</v>
      </c>
    </row>
    <row r="37" spans="1:14" x14ac:dyDescent="0.2">
      <c r="A37" s="2">
        <v>54</v>
      </c>
      <c r="B37" s="2">
        <v>36</v>
      </c>
      <c r="C37" s="58">
        <v>1548561288.3098726</v>
      </c>
      <c r="D37" s="58">
        <v>-100185979.17840278</v>
      </c>
      <c r="E37" s="2">
        <v>157.32247924804687</v>
      </c>
      <c r="F37" s="58">
        <v>-25283949.052821834</v>
      </c>
      <c r="G37" s="2">
        <v>40.434806823730469</v>
      </c>
      <c r="H37" s="2">
        <v>80.903640747070312</v>
      </c>
      <c r="I37" s="58">
        <v>-36434794.137379549</v>
      </c>
      <c r="J37" s="2">
        <v>164228</v>
      </c>
      <c r="K37" s="58">
        <v>-9923179.2227503862</v>
      </c>
      <c r="L37" s="2">
        <v>120.26785278320312</v>
      </c>
      <c r="M37" s="2">
        <v>7.389693450927734E-2</v>
      </c>
      <c r="N37" s="58">
        <v>-171827901.59135455</v>
      </c>
    </row>
    <row r="38" spans="1:14" x14ac:dyDescent="0.2">
      <c r="A38" s="2">
        <v>54</v>
      </c>
      <c r="B38" s="2">
        <v>38</v>
      </c>
      <c r="C38" s="58">
        <v>1548687909.6473045</v>
      </c>
      <c r="D38" s="58">
        <v>-100190581.26221618</v>
      </c>
      <c r="E38" s="2">
        <v>157.32574462890625</v>
      </c>
      <c r="F38" s="58">
        <v>-25281819.907272227</v>
      </c>
      <c r="G38" s="2">
        <v>40.438320159912109</v>
      </c>
      <c r="H38" s="2">
        <v>80.915664672851562</v>
      </c>
      <c r="I38" s="58">
        <v>-36432158.068171851</v>
      </c>
      <c r="J38" s="2">
        <v>164228</v>
      </c>
      <c r="K38" s="58">
        <v>-9923190.1629390121</v>
      </c>
      <c r="L38" s="2">
        <v>120.26751708984375</v>
      </c>
      <c r="M38" s="2">
        <v>7.3896827697753908E-2</v>
      </c>
      <c r="N38" s="58">
        <v>-171827749.40059927</v>
      </c>
    </row>
    <row r="39" spans="1:14" x14ac:dyDescent="0.2">
      <c r="A39" s="2">
        <v>54</v>
      </c>
      <c r="B39" s="2">
        <v>40</v>
      </c>
      <c r="C39" s="58">
        <v>1549231533.0658312</v>
      </c>
      <c r="D39" s="58">
        <v>-100200293.22665307</v>
      </c>
      <c r="E39" s="2">
        <v>157.32937622070312</v>
      </c>
      <c r="F39" s="58">
        <v>-25273262.605954036</v>
      </c>
      <c r="G39" s="2">
        <v>40.454696655273438</v>
      </c>
      <c r="H39" s="2">
        <v>80.947196960449219</v>
      </c>
      <c r="I39" s="58">
        <v>-36441994.162984937</v>
      </c>
      <c r="J39" s="2">
        <v>164228</v>
      </c>
      <c r="K39" s="58">
        <v>-9923150.4855836555</v>
      </c>
      <c r="L39" s="2">
        <v>120.26781463623047</v>
      </c>
      <c r="M39" s="2">
        <v>7.3897377014160159E-2</v>
      </c>
      <c r="N39" s="58">
        <v>-171838700.48117572</v>
      </c>
    </row>
    <row r="40" spans="1:14" x14ac:dyDescent="0.2">
      <c r="A40" s="2">
        <v>54</v>
      </c>
      <c r="B40" s="2">
        <v>42</v>
      </c>
      <c r="C40" s="58">
        <v>1549206232.433342</v>
      </c>
      <c r="D40" s="58">
        <v>-100200172.42101631</v>
      </c>
      <c r="E40" s="2">
        <v>157.33175659179687</v>
      </c>
      <c r="F40" s="58">
        <v>-25273394.503311489</v>
      </c>
      <c r="G40" s="2">
        <v>40.454364776611328</v>
      </c>
      <c r="H40" s="2">
        <v>80.947410583496094</v>
      </c>
      <c r="I40" s="58">
        <v>-36444633.257257089</v>
      </c>
      <c r="J40" s="2">
        <v>164228</v>
      </c>
      <c r="K40" s="58">
        <v>-9923172.0600953121</v>
      </c>
      <c r="L40" s="2">
        <v>120.26754760742187</v>
      </c>
      <c r="M40" s="2">
        <v>7.3897102355957034E-2</v>
      </c>
      <c r="N40" s="58">
        <v>-171841372.2416802</v>
      </c>
    </row>
    <row r="41" spans="1:14" x14ac:dyDescent="0.2">
      <c r="A41" s="2">
        <v>54</v>
      </c>
      <c r="B41" s="2">
        <v>44</v>
      </c>
      <c r="C41" s="58">
        <v>1548601227.1020803</v>
      </c>
      <c r="D41" s="58">
        <v>-100188106.68696354</v>
      </c>
      <c r="E41" s="2">
        <v>157.33364868164062</v>
      </c>
      <c r="F41" s="58">
        <v>-25282806.576423626</v>
      </c>
      <c r="G41" s="2">
        <v>40.436050415039063</v>
      </c>
      <c r="H41" s="2">
        <v>80.914901733398437</v>
      </c>
      <c r="I41" s="58">
        <v>-36443158.025850654</v>
      </c>
      <c r="J41" s="2">
        <v>164228</v>
      </c>
      <c r="K41" s="58">
        <v>-9923246.4580765553</v>
      </c>
      <c r="L41" s="2">
        <v>120.26816558837891</v>
      </c>
      <c r="M41" s="2">
        <v>7.3895851135253904E-2</v>
      </c>
      <c r="N41" s="58">
        <v>-171837317.74731439</v>
      </c>
    </row>
    <row r="42" spans="1:14" x14ac:dyDescent="0.2">
      <c r="A42" s="2">
        <v>54</v>
      </c>
      <c r="B42" s="2">
        <v>46</v>
      </c>
      <c r="C42" s="58">
        <v>1548407672.7405291</v>
      </c>
      <c r="D42" s="58">
        <v>-100181604.07612728</v>
      </c>
      <c r="E42" s="2">
        <v>157.34883117675781</v>
      </c>
      <c r="F42" s="58">
        <v>-25287011.592574697</v>
      </c>
      <c r="G42" s="2">
        <v>40.428779602050781</v>
      </c>
      <c r="H42" s="2">
        <v>80.895332336425781</v>
      </c>
      <c r="I42" s="58">
        <v>-36487706.208246261</v>
      </c>
      <c r="J42" s="2">
        <v>164228</v>
      </c>
      <c r="K42" s="58">
        <v>-9923334.3872533813</v>
      </c>
      <c r="L42" s="2">
        <v>120.26862335205078</v>
      </c>
      <c r="M42" s="2">
        <v>7.3894386291503911E-2</v>
      </c>
      <c r="N42" s="58">
        <v>-171879656.26420161</v>
      </c>
    </row>
    <row r="43" spans="1:14" x14ac:dyDescent="0.2">
      <c r="A43" s="2">
        <v>55</v>
      </c>
      <c r="B43" s="2">
        <v>31</v>
      </c>
      <c r="C43" s="58">
        <v>1511925557.2836428</v>
      </c>
      <c r="D43" s="58">
        <v>-98284381.655457035</v>
      </c>
      <c r="E43" s="2">
        <v>161.58753967285156</v>
      </c>
      <c r="F43" s="58">
        <v>-25994754.783762254</v>
      </c>
      <c r="G43" s="2">
        <v>38.099582672119141</v>
      </c>
      <c r="H43" s="2">
        <v>76.480537414550781</v>
      </c>
      <c r="I43" s="58">
        <v>-34881861.962121524</v>
      </c>
      <c r="J43" s="2">
        <v>164228</v>
      </c>
      <c r="K43" s="58">
        <v>-9963604.765399456</v>
      </c>
      <c r="L43" s="2">
        <v>120.28861236572266</v>
      </c>
      <c r="M43" s="2">
        <v>7.3273490905761712E-2</v>
      </c>
      <c r="N43" s="58">
        <v>-169124603.16674027</v>
      </c>
    </row>
    <row r="44" spans="1:14" x14ac:dyDescent="0.2">
      <c r="A44" s="2">
        <v>55</v>
      </c>
      <c r="B44" s="2">
        <v>33</v>
      </c>
      <c r="C44" s="58">
        <v>1545047864.4227457</v>
      </c>
      <c r="D44" s="58">
        <v>-101229617.65091573</v>
      </c>
      <c r="E44" s="2">
        <v>157.51066589355469</v>
      </c>
      <c r="F44" s="58">
        <v>-25324836.010511927</v>
      </c>
      <c r="G44" s="2">
        <v>40.368080139160156</v>
      </c>
      <c r="H44" s="2">
        <v>80.681655883789063</v>
      </c>
      <c r="I44" s="58">
        <v>-36992132.491300784</v>
      </c>
      <c r="J44" s="2">
        <v>164228</v>
      </c>
      <c r="K44" s="58">
        <v>-9924601.4294638466</v>
      </c>
      <c r="L44" s="2">
        <v>120.26808166503906</v>
      </c>
      <c r="M44" s="2">
        <v>7.3874885559082032E-2</v>
      </c>
      <c r="N44" s="58">
        <v>-173471187.58219227</v>
      </c>
    </row>
    <row r="45" spans="1:14" x14ac:dyDescent="0.2">
      <c r="A45" s="2">
        <v>55</v>
      </c>
      <c r="B45" s="2">
        <v>35</v>
      </c>
      <c r="C45" s="58">
        <v>1547097594.4595671</v>
      </c>
      <c r="D45" s="58">
        <v>-101469472.23076078</v>
      </c>
      <c r="E45" s="2">
        <v>157.30642700195312</v>
      </c>
      <c r="F45" s="58">
        <v>-25281799.829003319</v>
      </c>
      <c r="G45" s="2">
        <v>40.439624786376953</v>
      </c>
      <c r="H45" s="2">
        <v>80.902389526367187</v>
      </c>
      <c r="I45" s="58">
        <v>-36505008.185697496</v>
      </c>
      <c r="J45" s="2">
        <v>164228</v>
      </c>
      <c r="K45" s="58">
        <v>-9923023.5296381731</v>
      </c>
      <c r="L45" s="2">
        <v>120.26793670654297</v>
      </c>
      <c r="M45" s="2">
        <v>7.389934539794922E-2</v>
      </c>
      <c r="N45" s="58">
        <v>-173179303.77509975</v>
      </c>
    </row>
    <row r="46" spans="1:14" x14ac:dyDescent="0.2">
      <c r="A46" s="2">
        <v>55</v>
      </c>
      <c r="B46" s="2">
        <v>37</v>
      </c>
      <c r="C46" s="58">
        <v>1547340603.3788795</v>
      </c>
      <c r="D46" s="58">
        <v>-101483732.63008286</v>
      </c>
      <c r="E46" s="2">
        <v>157.302978515625</v>
      </c>
      <c r="F46" s="58">
        <v>-25277539.358332276</v>
      </c>
      <c r="G46" s="2">
        <v>40.446601867675781</v>
      </c>
      <c r="H46" s="2">
        <v>80.926834106445313</v>
      </c>
      <c r="I46" s="58">
        <v>-36483822.617871508</v>
      </c>
      <c r="J46" s="2">
        <v>164228</v>
      </c>
      <c r="K46" s="58">
        <v>-9922994.0057618339</v>
      </c>
      <c r="L46" s="2">
        <v>120.26778411865234</v>
      </c>
      <c r="M46" s="2">
        <v>7.3899833679199223E-2</v>
      </c>
      <c r="N46" s="58">
        <v>-173168088.61204848</v>
      </c>
    </row>
    <row r="47" spans="1:14" x14ac:dyDescent="0.2">
      <c r="A47" s="2">
        <v>55</v>
      </c>
      <c r="B47" s="2">
        <v>39</v>
      </c>
      <c r="C47" s="58">
        <v>1547625992.043539</v>
      </c>
      <c r="D47" s="58">
        <v>-101488880.60536377</v>
      </c>
      <c r="E47" s="2">
        <v>157.30654907226562</v>
      </c>
      <c r="F47" s="58">
        <v>-25272831.658366088</v>
      </c>
      <c r="G47" s="2">
        <v>40.455570220947266</v>
      </c>
      <c r="H47" s="2">
        <v>80.944770812988281</v>
      </c>
      <c r="I47" s="58">
        <v>-36489024.246374346</v>
      </c>
      <c r="J47" s="2">
        <v>164228</v>
      </c>
      <c r="K47" s="58">
        <v>-9922985.7951456197</v>
      </c>
      <c r="L47" s="2">
        <v>120.26735687255859</v>
      </c>
      <c r="M47" s="2">
        <v>7.39000473022461E-2</v>
      </c>
      <c r="N47" s="58">
        <v>-173173722.30524984</v>
      </c>
    </row>
    <row r="48" spans="1:14" x14ac:dyDescent="0.2">
      <c r="A48" s="2">
        <v>55</v>
      </c>
      <c r="B48" s="2">
        <v>41</v>
      </c>
      <c r="C48" s="58">
        <v>1548486843.1170778</v>
      </c>
      <c r="D48" s="58">
        <v>-101503124.29251519</v>
      </c>
      <c r="E48" s="2">
        <v>157.31338500976562</v>
      </c>
      <c r="F48" s="58">
        <v>-25259796.579379488</v>
      </c>
      <c r="G48" s="2">
        <v>40.480998992919922</v>
      </c>
      <c r="H48" s="2">
        <v>80.990631103515625</v>
      </c>
      <c r="I48" s="58">
        <v>-36505251.140103519</v>
      </c>
      <c r="J48" s="2">
        <v>164228</v>
      </c>
      <c r="K48" s="58">
        <v>-9922919.7181163654</v>
      </c>
      <c r="L48" s="2">
        <v>120.26702117919922</v>
      </c>
      <c r="M48" s="2">
        <v>7.3901123046875003E-2</v>
      </c>
      <c r="N48" s="58">
        <v>-173191091.73011455</v>
      </c>
    </row>
    <row r="49" spans="1:14" x14ac:dyDescent="0.2">
      <c r="A49" s="2">
        <v>55</v>
      </c>
      <c r="B49" s="2">
        <v>43</v>
      </c>
      <c r="C49" s="58">
        <v>1547682071.5834141</v>
      </c>
      <c r="D49" s="58">
        <v>-101489297.71720192</v>
      </c>
      <c r="E49" s="2">
        <v>157.31129455566406</v>
      </c>
      <c r="F49" s="58">
        <v>-25271697.281229857</v>
      </c>
      <c r="G49" s="2">
        <v>40.457485198974609</v>
      </c>
      <c r="H49" s="2">
        <v>80.950828552246094</v>
      </c>
      <c r="I49" s="58">
        <v>-36495566.200110398</v>
      </c>
      <c r="J49" s="2">
        <v>164228</v>
      </c>
      <c r="K49" s="58">
        <v>-9923009.6975664161</v>
      </c>
      <c r="L49" s="2">
        <v>120.26708984375</v>
      </c>
      <c r="M49" s="2">
        <v>7.3899711608886726E-2</v>
      </c>
      <c r="N49" s="58">
        <v>-173179570.8961086</v>
      </c>
    </row>
    <row r="50" spans="1:14" x14ac:dyDescent="0.2">
      <c r="A50" s="2">
        <v>55</v>
      </c>
      <c r="B50" s="2">
        <v>45</v>
      </c>
      <c r="C50" s="58">
        <v>1547487984.4753885</v>
      </c>
      <c r="D50" s="58">
        <v>-101482258.52390824</v>
      </c>
      <c r="E50" s="2">
        <v>157.31684875488281</v>
      </c>
      <c r="F50" s="58">
        <v>-25274903.93111822</v>
      </c>
      <c r="G50" s="2">
        <v>40.451568603515625</v>
      </c>
      <c r="H50" s="2">
        <v>80.938102722167969</v>
      </c>
      <c r="I50" s="58">
        <v>-36512088.026196904</v>
      </c>
      <c r="J50" s="2">
        <v>164228</v>
      </c>
      <c r="K50" s="58">
        <v>-9923051.4715839215</v>
      </c>
      <c r="L50" s="2">
        <v>120.26748657226562</v>
      </c>
      <c r="M50" s="2">
        <v>7.3894416809082028E-2</v>
      </c>
      <c r="N50" s="58">
        <v>-173192301.95280731</v>
      </c>
    </row>
    <row r="51" spans="1:14" x14ac:dyDescent="0.2">
      <c r="A51" s="2">
        <v>55</v>
      </c>
      <c r="B51" s="2">
        <v>47</v>
      </c>
      <c r="C51" s="58">
        <v>1547359762.166523</v>
      </c>
      <c r="D51" s="58">
        <v>-101462029.7979767</v>
      </c>
      <c r="E51" s="2">
        <v>157.35537719726562</v>
      </c>
      <c r="F51" s="58">
        <v>-25278338.022415414</v>
      </c>
      <c r="G51" s="2">
        <v>40.446880340576172</v>
      </c>
      <c r="H51" s="2">
        <v>80.915420532226563</v>
      </c>
      <c r="I51" s="58">
        <v>-36618673.992994979</v>
      </c>
      <c r="J51" s="2">
        <v>164228</v>
      </c>
      <c r="K51" s="58">
        <v>-9923343.8228524253</v>
      </c>
      <c r="L51" s="2">
        <v>120.26773071289062</v>
      </c>
      <c r="M51" s="2">
        <v>7.3894416809082028E-2</v>
      </c>
      <c r="N51" s="58">
        <v>-173282385.63623953</v>
      </c>
    </row>
    <row r="52" spans="1:14" x14ac:dyDescent="0.2">
      <c r="A52" s="2" t="s">
        <v>299</v>
      </c>
      <c r="B52" s="2" t="s">
        <v>300</v>
      </c>
      <c r="C52" s="58" t="s">
        <v>295</v>
      </c>
      <c r="D52" s="58" t="s">
        <v>296</v>
      </c>
      <c r="E52" s="6" t="s">
        <v>104</v>
      </c>
      <c r="F52" s="58" t="s">
        <v>298</v>
      </c>
      <c r="G52" s="9" t="s">
        <v>104</v>
      </c>
      <c r="H52" s="9" t="s">
        <v>105</v>
      </c>
      <c r="I52" s="58" t="s">
        <v>297</v>
      </c>
      <c r="J52" s="6" t="s">
        <v>104</v>
      </c>
      <c r="K52" s="58" t="s">
        <v>339</v>
      </c>
      <c r="L52" s="9" t="s">
        <v>104</v>
      </c>
      <c r="M52" s="9" t="s">
        <v>105</v>
      </c>
      <c r="N52" s="58" t="s">
        <v>301</v>
      </c>
    </row>
    <row r="54" spans="1:14" x14ac:dyDescent="0.2">
      <c r="N54" s="58">
        <f>D54+F54+I54+K54</f>
        <v>0</v>
      </c>
    </row>
    <row r="55" spans="1:14" x14ac:dyDescent="0.2">
      <c r="N55" s="58">
        <f>D55+F55+I55+K55</f>
        <v>0</v>
      </c>
    </row>
    <row r="56" spans="1:14" x14ac:dyDescent="0.2">
      <c r="N56" s="58">
        <f>D56+F56+I56+K56</f>
        <v>0</v>
      </c>
    </row>
    <row r="57" spans="1:14" x14ac:dyDescent="0.2">
      <c r="N57" s="58">
        <f>D57+F57+I57+K57</f>
        <v>0</v>
      </c>
    </row>
    <row r="60" spans="1:14" x14ac:dyDescent="0.2">
      <c r="N60" s="58">
        <f t="shared" ref="N60:N123" si="0">D60+F60+I60+K60</f>
        <v>0</v>
      </c>
    </row>
    <row r="61" spans="1:14" x14ac:dyDescent="0.2">
      <c r="N61" s="58">
        <f t="shared" si="0"/>
        <v>0</v>
      </c>
    </row>
    <row r="62" spans="1:14" x14ac:dyDescent="0.2">
      <c r="N62" s="58">
        <f t="shared" si="0"/>
        <v>0</v>
      </c>
    </row>
    <row r="63" spans="1:14" x14ac:dyDescent="0.2">
      <c r="N63" s="58">
        <f t="shared" si="0"/>
        <v>0</v>
      </c>
    </row>
    <row r="64" spans="1:14" x14ac:dyDescent="0.2">
      <c r="N64" s="58">
        <f t="shared" si="0"/>
        <v>0</v>
      </c>
    </row>
    <row r="65" spans="14:14" x14ac:dyDescent="0.2">
      <c r="N65" s="58">
        <f t="shared" si="0"/>
        <v>0</v>
      </c>
    </row>
    <row r="66" spans="14:14" x14ac:dyDescent="0.2">
      <c r="N66" s="58">
        <f t="shared" si="0"/>
        <v>0</v>
      </c>
    </row>
    <row r="67" spans="14:14" x14ac:dyDescent="0.2">
      <c r="N67" s="58">
        <f t="shared" si="0"/>
        <v>0</v>
      </c>
    </row>
    <row r="68" spans="14:14" x14ac:dyDescent="0.2">
      <c r="N68" s="58">
        <f t="shared" si="0"/>
        <v>0</v>
      </c>
    </row>
    <row r="69" spans="14:14" x14ac:dyDescent="0.2">
      <c r="N69" s="58">
        <f t="shared" si="0"/>
        <v>0</v>
      </c>
    </row>
    <row r="70" spans="14:14" x14ac:dyDescent="0.2">
      <c r="N70" s="58">
        <f t="shared" si="0"/>
        <v>0</v>
      </c>
    </row>
    <row r="71" spans="14:14" x14ac:dyDescent="0.2">
      <c r="N71" s="58">
        <f t="shared" si="0"/>
        <v>0</v>
      </c>
    </row>
    <row r="72" spans="14:14" x14ac:dyDescent="0.2">
      <c r="N72" s="58">
        <f t="shared" si="0"/>
        <v>0</v>
      </c>
    </row>
    <row r="73" spans="14:14" x14ac:dyDescent="0.2">
      <c r="N73" s="58">
        <f t="shared" si="0"/>
        <v>0</v>
      </c>
    </row>
    <row r="74" spans="14:14" x14ac:dyDescent="0.2">
      <c r="N74" s="58">
        <f t="shared" si="0"/>
        <v>0</v>
      </c>
    </row>
    <row r="75" spans="14:14" x14ac:dyDescent="0.2">
      <c r="N75" s="58">
        <f t="shared" si="0"/>
        <v>0</v>
      </c>
    </row>
    <row r="76" spans="14:14" x14ac:dyDescent="0.2">
      <c r="N76" s="58">
        <f t="shared" si="0"/>
        <v>0</v>
      </c>
    </row>
    <row r="77" spans="14:14" x14ac:dyDescent="0.2">
      <c r="N77" s="58">
        <f t="shared" si="0"/>
        <v>0</v>
      </c>
    </row>
    <row r="78" spans="14:14" x14ac:dyDescent="0.2">
      <c r="N78" s="58">
        <f t="shared" si="0"/>
        <v>0</v>
      </c>
    </row>
    <row r="79" spans="14:14" x14ac:dyDescent="0.2">
      <c r="N79" s="58">
        <f t="shared" si="0"/>
        <v>0</v>
      </c>
    </row>
    <row r="80" spans="14:14" x14ac:dyDescent="0.2">
      <c r="N80" s="58">
        <f t="shared" si="0"/>
        <v>0</v>
      </c>
    </row>
    <row r="81" spans="14:14" x14ac:dyDescent="0.2">
      <c r="N81" s="58">
        <f t="shared" si="0"/>
        <v>0</v>
      </c>
    </row>
    <row r="82" spans="14:14" x14ac:dyDescent="0.2">
      <c r="N82" s="58">
        <f t="shared" si="0"/>
        <v>0</v>
      </c>
    </row>
    <row r="83" spans="14:14" x14ac:dyDescent="0.2">
      <c r="N83" s="58">
        <f t="shared" si="0"/>
        <v>0</v>
      </c>
    </row>
    <row r="84" spans="14:14" x14ac:dyDescent="0.2">
      <c r="N84" s="58">
        <f t="shared" si="0"/>
        <v>0</v>
      </c>
    </row>
    <row r="85" spans="14:14" x14ac:dyDescent="0.2">
      <c r="N85" s="58">
        <f t="shared" si="0"/>
        <v>0</v>
      </c>
    </row>
    <row r="86" spans="14:14" x14ac:dyDescent="0.2">
      <c r="N86" s="58">
        <f t="shared" si="0"/>
        <v>0</v>
      </c>
    </row>
    <row r="87" spans="14:14" x14ac:dyDescent="0.2">
      <c r="N87" s="58">
        <f t="shared" si="0"/>
        <v>0</v>
      </c>
    </row>
    <row r="88" spans="14:14" x14ac:dyDescent="0.2">
      <c r="N88" s="58">
        <f t="shared" si="0"/>
        <v>0</v>
      </c>
    </row>
    <row r="89" spans="14:14" x14ac:dyDescent="0.2">
      <c r="N89" s="58">
        <f t="shared" si="0"/>
        <v>0</v>
      </c>
    </row>
    <row r="90" spans="14:14" x14ac:dyDescent="0.2">
      <c r="N90" s="58">
        <f t="shared" si="0"/>
        <v>0</v>
      </c>
    </row>
    <row r="91" spans="14:14" x14ac:dyDescent="0.2">
      <c r="N91" s="58">
        <f t="shared" si="0"/>
        <v>0</v>
      </c>
    </row>
    <row r="92" spans="14:14" x14ac:dyDescent="0.2">
      <c r="N92" s="58">
        <f t="shared" si="0"/>
        <v>0</v>
      </c>
    </row>
    <row r="93" spans="14:14" x14ac:dyDescent="0.2">
      <c r="N93" s="58">
        <f t="shared" si="0"/>
        <v>0</v>
      </c>
    </row>
    <row r="94" spans="14:14" x14ac:dyDescent="0.2">
      <c r="N94" s="58">
        <f t="shared" si="0"/>
        <v>0</v>
      </c>
    </row>
    <row r="95" spans="14:14" x14ac:dyDescent="0.2">
      <c r="N95" s="58">
        <f t="shared" si="0"/>
        <v>0</v>
      </c>
    </row>
    <row r="96" spans="14:14" x14ac:dyDescent="0.2">
      <c r="N96" s="58">
        <f t="shared" si="0"/>
        <v>0</v>
      </c>
    </row>
    <row r="97" spans="14:14" x14ac:dyDescent="0.2">
      <c r="N97" s="58">
        <f t="shared" si="0"/>
        <v>0</v>
      </c>
    </row>
    <row r="98" spans="14:14" x14ac:dyDescent="0.2">
      <c r="N98" s="58">
        <f t="shared" si="0"/>
        <v>0</v>
      </c>
    </row>
    <row r="99" spans="14:14" x14ac:dyDescent="0.2">
      <c r="N99" s="58">
        <f t="shared" si="0"/>
        <v>0</v>
      </c>
    </row>
    <row r="100" spans="14:14" x14ac:dyDescent="0.2">
      <c r="N100" s="58">
        <f t="shared" si="0"/>
        <v>0</v>
      </c>
    </row>
    <row r="101" spans="14:14" x14ac:dyDescent="0.2">
      <c r="N101" s="58">
        <f t="shared" si="0"/>
        <v>0</v>
      </c>
    </row>
    <row r="102" spans="14:14" x14ac:dyDescent="0.2">
      <c r="N102" s="58">
        <f t="shared" si="0"/>
        <v>0</v>
      </c>
    </row>
    <row r="103" spans="14:14" x14ac:dyDescent="0.2">
      <c r="N103" s="58">
        <f t="shared" si="0"/>
        <v>0</v>
      </c>
    </row>
    <row r="104" spans="14:14" x14ac:dyDescent="0.2">
      <c r="N104" s="58">
        <f t="shared" si="0"/>
        <v>0</v>
      </c>
    </row>
    <row r="105" spans="14:14" x14ac:dyDescent="0.2">
      <c r="N105" s="58">
        <f t="shared" si="0"/>
        <v>0</v>
      </c>
    </row>
    <row r="106" spans="14:14" x14ac:dyDescent="0.2">
      <c r="N106" s="58">
        <f t="shared" si="0"/>
        <v>0</v>
      </c>
    </row>
    <row r="107" spans="14:14" x14ac:dyDescent="0.2">
      <c r="N107" s="58">
        <f t="shared" si="0"/>
        <v>0</v>
      </c>
    </row>
    <row r="108" spans="14:14" x14ac:dyDescent="0.2">
      <c r="N108" s="58">
        <f t="shared" si="0"/>
        <v>0</v>
      </c>
    </row>
    <row r="109" spans="14:14" x14ac:dyDescent="0.2">
      <c r="N109" s="58">
        <f t="shared" si="0"/>
        <v>0</v>
      </c>
    </row>
    <row r="110" spans="14:14" x14ac:dyDescent="0.2">
      <c r="N110" s="58">
        <f t="shared" si="0"/>
        <v>0</v>
      </c>
    </row>
    <row r="111" spans="14:14" x14ac:dyDescent="0.2">
      <c r="N111" s="58">
        <f t="shared" si="0"/>
        <v>0</v>
      </c>
    </row>
    <row r="112" spans="14:14" x14ac:dyDescent="0.2">
      <c r="N112" s="58">
        <f t="shared" si="0"/>
        <v>0</v>
      </c>
    </row>
    <row r="113" spans="14:14" x14ac:dyDescent="0.2">
      <c r="N113" s="58">
        <f t="shared" si="0"/>
        <v>0</v>
      </c>
    </row>
    <row r="114" spans="14:14" x14ac:dyDescent="0.2">
      <c r="N114" s="58">
        <f t="shared" si="0"/>
        <v>0</v>
      </c>
    </row>
    <row r="115" spans="14:14" x14ac:dyDescent="0.2">
      <c r="N115" s="58">
        <f t="shared" si="0"/>
        <v>0</v>
      </c>
    </row>
    <row r="116" spans="14:14" x14ac:dyDescent="0.2">
      <c r="N116" s="58">
        <f t="shared" si="0"/>
        <v>0</v>
      </c>
    </row>
    <row r="117" spans="14:14" x14ac:dyDescent="0.2">
      <c r="N117" s="58">
        <f t="shared" si="0"/>
        <v>0</v>
      </c>
    </row>
    <row r="118" spans="14:14" x14ac:dyDescent="0.2">
      <c r="N118" s="58">
        <f t="shared" si="0"/>
        <v>0</v>
      </c>
    </row>
    <row r="119" spans="14:14" x14ac:dyDescent="0.2">
      <c r="N119" s="58">
        <f t="shared" si="0"/>
        <v>0</v>
      </c>
    </row>
    <row r="120" spans="14:14" x14ac:dyDescent="0.2">
      <c r="N120" s="58">
        <f t="shared" si="0"/>
        <v>0</v>
      </c>
    </row>
    <row r="121" spans="14:14" x14ac:dyDescent="0.2">
      <c r="N121" s="58">
        <f t="shared" si="0"/>
        <v>0</v>
      </c>
    </row>
    <row r="122" spans="14:14" x14ac:dyDescent="0.2">
      <c r="N122" s="58">
        <f t="shared" si="0"/>
        <v>0</v>
      </c>
    </row>
    <row r="123" spans="14:14" x14ac:dyDescent="0.2">
      <c r="N123" s="58">
        <f t="shared" si="0"/>
        <v>0</v>
      </c>
    </row>
    <row r="124" spans="14:14" x14ac:dyDescent="0.2">
      <c r="N124" s="58">
        <f t="shared" ref="N124:N187" si="1">D124+F124+I124+K124</f>
        <v>0</v>
      </c>
    </row>
    <row r="125" spans="14:14" x14ac:dyDescent="0.2">
      <c r="N125" s="58">
        <f t="shared" si="1"/>
        <v>0</v>
      </c>
    </row>
    <row r="126" spans="14:14" x14ac:dyDescent="0.2">
      <c r="N126" s="58">
        <f t="shared" si="1"/>
        <v>0</v>
      </c>
    </row>
    <row r="127" spans="14:14" x14ac:dyDescent="0.2">
      <c r="N127" s="58">
        <f t="shared" si="1"/>
        <v>0</v>
      </c>
    </row>
    <row r="128" spans="14:14" x14ac:dyDescent="0.2">
      <c r="N128" s="58">
        <f t="shared" si="1"/>
        <v>0</v>
      </c>
    </row>
    <row r="129" spans="14:14" x14ac:dyDescent="0.2">
      <c r="N129" s="58">
        <f t="shared" si="1"/>
        <v>0</v>
      </c>
    </row>
    <row r="130" spans="14:14" x14ac:dyDescent="0.2">
      <c r="N130" s="58">
        <f t="shared" si="1"/>
        <v>0</v>
      </c>
    </row>
    <row r="131" spans="14:14" x14ac:dyDescent="0.2">
      <c r="N131" s="58">
        <f t="shared" si="1"/>
        <v>0</v>
      </c>
    </row>
    <row r="132" spans="14:14" x14ac:dyDescent="0.2">
      <c r="N132" s="58">
        <f t="shared" si="1"/>
        <v>0</v>
      </c>
    </row>
    <row r="133" spans="14:14" x14ac:dyDescent="0.2">
      <c r="N133" s="58">
        <f t="shared" si="1"/>
        <v>0</v>
      </c>
    </row>
    <row r="134" spans="14:14" x14ac:dyDescent="0.2">
      <c r="N134" s="58">
        <f t="shared" si="1"/>
        <v>0</v>
      </c>
    </row>
    <row r="135" spans="14:14" x14ac:dyDescent="0.2">
      <c r="N135" s="58">
        <f t="shared" si="1"/>
        <v>0</v>
      </c>
    </row>
    <row r="136" spans="14:14" x14ac:dyDescent="0.2">
      <c r="N136" s="58">
        <f t="shared" si="1"/>
        <v>0</v>
      </c>
    </row>
    <row r="137" spans="14:14" x14ac:dyDescent="0.2">
      <c r="N137" s="58">
        <f t="shared" si="1"/>
        <v>0</v>
      </c>
    </row>
    <row r="138" spans="14:14" x14ac:dyDescent="0.2">
      <c r="N138" s="58">
        <f t="shared" si="1"/>
        <v>0</v>
      </c>
    </row>
    <row r="139" spans="14:14" x14ac:dyDescent="0.2">
      <c r="N139" s="58">
        <f t="shared" si="1"/>
        <v>0</v>
      </c>
    </row>
    <row r="140" spans="14:14" x14ac:dyDescent="0.2">
      <c r="N140" s="58">
        <f t="shared" si="1"/>
        <v>0</v>
      </c>
    </row>
    <row r="141" spans="14:14" x14ac:dyDescent="0.2">
      <c r="N141" s="58">
        <f t="shared" si="1"/>
        <v>0</v>
      </c>
    </row>
    <row r="142" spans="14:14" x14ac:dyDescent="0.2">
      <c r="N142" s="58">
        <f t="shared" si="1"/>
        <v>0</v>
      </c>
    </row>
    <row r="143" spans="14:14" x14ac:dyDescent="0.2">
      <c r="N143" s="58">
        <f t="shared" si="1"/>
        <v>0</v>
      </c>
    </row>
    <row r="144" spans="14:14" x14ac:dyDescent="0.2">
      <c r="N144" s="58">
        <f t="shared" si="1"/>
        <v>0</v>
      </c>
    </row>
    <row r="145" spans="14:14" x14ac:dyDescent="0.2">
      <c r="N145" s="58">
        <f t="shared" si="1"/>
        <v>0</v>
      </c>
    </row>
    <row r="146" spans="14:14" x14ac:dyDescent="0.2">
      <c r="N146" s="58">
        <f t="shared" si="1"/>
        <v>0</v>
      </c>
    </row>
    <row r="147" spans="14:14" x14ac:dyDescent="0.2">
      <c r="N147" s="58">
        <f t="shared" si="1"/>
        <v>0</v>
      </c>
    </row>
    <row r="148" spans="14:14" x14ac:dyDescent="0.2">
      <c r="N148" s="58">
        <f t="shared" si="1"/>
        <v>0</v>
      </c>
    </row>
    <row r="149" spans="14:14" x14ac:dyDescent="0.2">
      <c r="N149" s="58">
        <f t="shared" si="1"/>
        <v>0</v>
      </c>
    </row>
    <row r="150" spans="14:14" x14ac:dyDescent="0.2">
      <c r="N150" s="58">
        <f t="shared" si="1"/>
        <v>0</v>
      </c>
    </row>
    <row r="151" spans="14:14" x14ac:dyDescent="0.2">
      <c r="N151" s="58">
        <f t="shared" si="1"/>
        <v>0</v>
      </c>
    </row>
    <row r="152" spans="14:14" x14ac:dyDescent="0.2">
      <c r="N152" s="58">
        <f t="shared" si="1"/>
        <v>0</v>
      </c>
    </row>
    <row r="153" spans="14:14" x14ac:dyDescent="0.2">
      <c r="N153" s="58">
        <f t="shared" si="1"/>
        <v>0</v>
      </c>
    </row>
    <row r="154" spans="14:14" x14ac:dyDescent="0.2">
      <c r="N154" s="58">
        <f t="shared" si="1"/>
        <v>0</v>
      </c>
    </row>
    <row r="155" spans="14:14" x14ac:dyDescent="0.2">
      <c r="N155" s="58">
        <f t="shared" si="1"/>
        <v>0</v>
      </c>
    </row>
    <row r="156" spans="14:14" x14ac:dyDescent="0.2">
      <c r="N156" s="58">
        <f t="shared" si="1"/>
        <v>0</v>
      </c>
    </row>
    <row r="157" spans="14:14" x14ac:dyDescent="0.2">
      <c r="N157" s="58">
        <f t="shared" si="1"/>
        <v>0</v>
      </c>
    </row>
    <row r="158" spans="14:14" x14ac:dyDescent="0.2">
      <c r="N158" s="58">
        <f t="shared" si="1"/>
        <v>0</v>
      </c>
    </row>
    <row r="159" spans="14:14" x14ac:dyDescent="0.2">
      <c r="N159" s="58">
        <f t="shared" si="1"/>
        <v>0</v>
      </c>
    </row>
    <row r="160" spans="14:14" x14ac:dyDescent="0.2">
      <c r="N160" s="58">
        <f t="shared" si="1"/>
        <v>0</v>
      </c>
    </row>
    <row r="161" spans="14:14" x14ac:dyDescent="0.2">
      <c r="N161" s="58">
        <f t="shared" si="1"/>
        <v>0</v>
      </c>
    </row>
    <row r="162" spans="14:14" x14ac:dyDescent="0.2">
      <c r="N162" s="58">
        <f t="shared" si="1"/>
        <v>0</v>
      </c>
    </row>
    <row r="163" spans="14:14" x14ac:dyDescent="0.2">
      <c r="N163" s="58">
        <f t="shared" si="1"/>
        <v>0</v>
      </c>
    </row>
    <row r="164" spans="14:14" x14ac:dyDescent="0.2">
      <c r="N164" s="58">
        <f t="shared" si="1"/>
        <v>0</v>
      </c>
    </row>
    <row r="165" spans="14:14" x14ac:dyDescent="0.2">
      <c r="N165" s="58">
        <f t="shared" si="1"/>
        <v>0</v>
      </c>
    </row>
    <row r="166" spans="14:14" x14ac:dyDescent="0.2">
      <c r="N166" s="58">
        <f t="shared" si="1"/>
        <v>0</v>
      </c>
    </row>
    <row r="167" spans="14:14" x14ac:dyDescent="0.2">
      <c r="N167" s="58">
        <f t="shared" si="1"/>
        <v>0</v>
      </c>
    </row>
    <row r="168" spans="14:14" x14ac:dyDescent="0.2">
      <c r="N168" s="58">
        <f t="shared" si="1"/>
        <v>0</v>
      </c>
    </row>
    <row r="169" spans="14:14" x14ac:dyDescent="0.2">
      <c r="N169" s="58">
        <f t="shared" si="1"/>
        <v>0</v>
      </c>
    </row>
    <row r="170" spans="14:14" x14ac:dyDescent="0.2">
      <c r="N170" s="58">
        <f t="shared" si="1"/>
        <v>0</v>
      </c>
    </row>
    <row r="171" spans="14:14" x14ac:dyDescent="0.2">
      <c r="N171" s="58">
        <f t="shared" si="1"/>
        <v>0</v>
      </c>
    </row>
    <row r="172" spans="14:14" x14ac:dyDescent="0.2">
      <c r="N172" s="58">
        <f t="shared" si="1"/>
        <v>0</v>
      </c>
    </row>
    <row r="173" spans="14:14" x14ac:dyDescent="0.2">
      <c r="N173" s="58">
        <f t="shared" si="1"/>
        <v>0</v>
      </c>
    </row>
    <row r="174" spans="14:14" x14ac:dyDescent="0.2">
      <c r="N174" s="58">
        <f t="shared" si="1"/>
        <v>0</v>
      </c>
    </row>
    <row r="175" spans="14:14" x14ac:dyDescent="0.2">
      <c r="N175" s="58">
        <f t="shared" si="1"/>
        <v>0</v>
      </c>
    </row>
    <row r="176" spans="14:14" x14ac:dyDescent="0.2">
      <c r="N176" s="58">
        <f t="shared" si="1"/>
        <v>0</v>
      </c>
    </row>
    <row r="177" spans="14:14" x14ac:dyDescent="0.2">
      <c r="N177" s="58">
        <f t="shared" si="1"/>
        <v>0</v>
      </c>
    </row>
    <row r="178" spans="14:14" x14ac:dyDescent="0.2">
      <c r="N178" s="58">
        <f t="shared" si="1"/>
        <v>0</v>
      </c>
    </row>
    <row r="179" spans="14:14" x14ac:dyDescent="0.2">
      <c r="N179" s="58">
        <f t="shared" si="1"/>
        <v>0</v>
      </c>
    </row>
    <row r="180" spans="14:14" x14ac:dyDescent="0.2">
      <c r="N180" s="58">
        <f t="shared" si="1"/>
        <v>0</v>
      </c>
    </row>
    <row r="181" spans="14:14" x14ac:dyDescent="0.2">
      <c r="N181" s="58">
        <f t="shared" si="1"/>
        <v>0</v>
      </c>
    </row>
    <row r="182" spans="14:14" x14ac:dyDescent="0.2">
      <c r="N182" s="58">
        <f t="shared" si="1"/>
        <v>0</v>
      </c>
    </row>
    <row r="183" spans="14:14" x14ac:dyDescent="0.2">
      <c r="N183" s="58">
        <f t="shared" si="1"/>
        <v>0</v>
      </c>
    </row>
    <row r="184" spans="14:14" x14ac:dyDescent="0.2">
      <c r="N184" s="58">
        <f t="shared" si="1"/>
        <v>0</v>
      </c>
    </row>
    <row r="185" spans="14:14" x14ac:dyDescent="0.2">
      <c r="N185" s="58">
        <f t="shared" si="1"/>
        <v>0</v>
      </c>
    </row>
    <row r="186" spans="14:14" x14ac:dyDescent="0.2">
      <c r="N186" s="58">
        <f t="shared" si="1"/>
        <v>0</v>
      </c>
    </row>
    <row r="187" spans="14:14" x14ac:dyDescent="0.2">
      <c r="N187" s="58">
        <f t="shared" si="1"/>
        <v>0</v>
      </c>
    </row>
    <row r="188" spans="14:14" x14ac:dyDescent="0.2">
      <c r="N188" s="58">
        <f t="shared" ref="N188:N251" si="2">D188+F188+I188+K188</f>
        <v>0</v>
      </c>
    </row>
    <row r="189" spans="14:14" x14ac:dyDescent="0.2">
      <c r="N189" s="58">
        <f t="shared" si="2"/>
        <v>0</v>
      </c>
    </row>
    <row r="190" spans="14:14" x14ac:dyDescent="0.2">
      <c r="N190" s="58">
        <f t="shared" si="2"/>
        <v>0</v>
      </c>
    </row>
    <row r="191" spans="14:14" x14ac:dyDescent="0.2">
      <c r="N191" s="58">
        <f t="shared" si="2"/>
        <v>0</v>
      </c>
    </row>
    <row r="192" spans="14:14" x14ac:dyDescent="0.2">
      <c r="N192" s="58">
        <f t="shared" si="2"/>
        <v>0</v>
      </c>
    </row>
    <row r="193" spans="14:14" x14ac:dyDescent="0.2">
      <c r="N193" s="58">
        <f t="shared" si="2"/>
        <v>0</v>
      </c>
    </row>
    <row r="194" spans="14:14" x14ac:dyDescent="0.2">
      <c r="N194" s="58">
        <f t="shared" si="2"/>
        <v>0</v>
      </c>
    </row>
    <row r="195" spans="14:14" x14ac:dyDescent="0.2">
      <c r="N195" s="58">
        <f t="shared" si="2"/>
        <v>0</v>
      </c>
    </row>
    <row r="196" spans="14:14" x14ac:dyDescent="0.2">
      <c r="N196" s="58">
        <f t="shared" si="2"/>
        <v>0</v>
      </c>
    </row>
    <row r="197" spans="14:14" x14ac:dyDescent="0.2">
      <c r="N197" s="58">
        <f t="shared" si="2"/>
        <v>0</v>
      </c>
    </row>
    <row r="198" spans="14:14" x14ac:dyDescent="0.2">
      <c r="N198" s="58">
        <f t="shared" si="2"/>
        <v>0</v>
      </c>
    </row>
    <row r="199" spans="14:14" x14ac:dyDescent="0.2">
      <c r="N199" s="58">
        <f t="shared" si="2"/>
        <v>0</v>
      </c>
    </row>
    <row r="200" spans="14:14" x14ac:dyDescent="0.2">
      <c r="N200" s="58">
        <f t="shared" si="2"/>
        <v>0</v>
      </c>
    </row>
    <row r="201" spans="14:14" x14ac:dyDescent="0.2">
      <c r="N201" s="58">
        <f t="shared" si="2"/>
        <v>0</v>
      </c>
    </row>
    <row r="202" spans="14:14" x14ac:dyDescent="0.2">
      <c r="N202" s="58">
        <f t="shared" si="2"/>
        <v>0</v>
      </c>
    </row>
    <row r="203" spans="14:14" x14ac:dyDescent="0.2">
      <c r="N203" s="58">
        <f t="shared" si="2"/>
        <v>0</v>
      </c>
    </row>
    <row r="204" spans="14:14" x14ac:dyDescent="0.2">
      <c r="N204" s="58">
        <f t="shared" si="2"/>
        <v>0</v>
      </c>
    </row>
    <row r="205" spans="14:14" x14ac:dyDescent="0.2">
      <c r="N205" s="58">
        <f t="shared" si="2"/>
        <v>0</v>
      </c>
    </row>
    <row r="206" spans="14:14" x14ac:dyDescent="0.2">
      <c r="N206" s="58">
        <f t="shared" si="2"/>
        <v>0</v>
      </c>
    </row>
    <row r="207" spans="14:14" x14ac:dyDescent="0.2">
      <c r="N207" s="58">
        <f t="shared" si="2"/>
        <v>0</v>
      </c>
    </row>
    <row r="208" spans="14:14" x14ac:dyDescent="0.2">
      <c r="N208" s="58">
        <f t="shared" si="2"/>
        <v>0</v>
      </c>
    </row>
    <row r="209" spans="14:14" x14ac:dyDescent="0.2">
      <c r="N209" s="58">
        <f t="shared" si="2"/>
        <v>0</v>
      </c>
    </row>
    <row r="210" spans="14:14" x14ac:dyDescent="0.2">
      <c r="N210" s="58">
        <f t="shared" si="2"/>
        <v>0</v>
      </c>
    </row>
    <row r="211" spans="14:14" x14ac:dyDescent="0.2">
      <c r="N211" s="58">
        <f t="shared" si="2"/>
        <v>0</v>
      </c>
    </row>
    <row r="212" spans="14:14" x14ac:dyDescent="0.2">
      <c r="N212" s="58">
        <f t="shared" si="2"/>
        <v>0</v>
      </c>
    </row>
    <row r="213" spans="14:14" x14ac:dyDescent="0.2">
      <c r="N213" s="58">
        <f t="shared" si="2"/>
        <v>0</v>
      </c>
    </row>
    <row r="214" spans="14:14" x14ac:dyDescent="0.2">
      <c r="N214" s="58">
        <f t="shared" si="2"/>
        <v>0</v>
      </c>
    </row>
    <row r="215" spans="14:14" x14ac:dyDescent="0.2">
      <c r="N215" s="58">
        <f t="shared" si="2"/>
        <v>0</v>
      </c>
    </row>
    <row r="216" spans="14:14" x14ac:dyDescent="0.2">
      <c r="N216" s="58">
        <f t="shared" si="2"/>
        <v>0</v>
      </c>
    </row>
    <row r="217" spans="14:14" x14ac:dyDescent="0.2">
      <c r="N217" s="58">
        <f t="shared" si="2"/>
        <v>0</v>
      </c>
    </row>
    <row r="218" spans="14:14" x14ac:dyDescent="0.2">
      <c r="N218" s="58">
        <f t="shared" si="2"/>
        <v>0</v>
      </c>
    </row>
    <row r="219" spans="14:14" x14ac:dyDescent="0.2">
      <c r="N219" s="58">
        <f t="shared" si="2"/>
        <v>0</v>
      </c>
    </row>
    <row r="220" spans="14:14" x14ac:dyDescent="0.2">
      <c r="N220" s="58">
        <f t="shared" si="2"/>
        <v>0</v>
      </c>
    </row>
    <row r="221" spans="14:14" x14ac:dyDescent="0.2">
      <c r="N221" s="58">
        <f t="shared" si="2"/>
        <v>0</v>
      </c>
    </row>
    <row r="222" spans="14:14" x14ac:dyDescent="0.2">
      <c r="N222" s="58">
        <f t="shared" si="2"/>
        <v>0</v>
      </c>
    </row>
    <row r="223" spans="14:14" x14ac:dyDescent="0.2">
      <c r="N223" s="58">
        <f t="shared" si="2"/>
        <v>0</v>
      </c>
    </row>
    <row r="224" spans="14:14" x14ac:dyDescent="0.2">
      <c r="N224" s="58">
        <f t="shared" si="2"/>
        <v>0</v>
      </c>
    </row>
    <row r="225" spans="14:14" x14ac:dyDescent="0.2">
      <c r="N225" s="58">
        <f t="shared" si="2"/>
        <v>0</v>
      </c>
    </row>
    <row r="226" spans="14:14" x14ac:dyDescent="0.2">
      <c r="N226" s="58">
        <f t="shared" si="2"/>
        <v>0</v>
      </c>
    </row>
    <row r="227" spans="14:14" x14ac:dyDescent="0.2">
      <c r="N227" s="58">
        <f t="shared" si="2"/>
        <v>0</v>
      </c>
    </row>
    <row r="228" spans="14:14" x14ac:dyDescent="0.2">
      <c r="N228" s="58">
        <f t="shared" si="2"/>
        <v>0</v>
      </c>
    </row>
    <row r="229" spans="14:14" x14ac:dyDescent="0.2">
      <c r="N229" s="58">
        <f t="shared" si="2"/>
        <v>0</v>
      </c>
    </row>
    <row r="230" spans="14:14" x14ac:dyDescent="0.2">
      <c r="N230" s="58">
        <f t="shared" si="2"/>
        <v>0</v>
      </c>
    </row>
    <row r="231" spans="14:14" x14ac:dyDescent="0.2">
      <c r="N231" s="58">
        <f t="shared" si="2"/>
        <v>0</v>
      </c>
    </row>
    <row r="232" spans="14:14" x14ac:dyDescent="0.2">
      <c r="N232" s="58">
        <f t="shared" si="2"/>
        <v>0</v>
      </c>
    </row>
    <row r="233" spans="14:14" x14ac:dyDescent="0.2">
      <c r="N233" s="58">
        <f t="shared" si="2"/>
        <v>0</v>
      </c>
    </row>
    <row r="234" spans="14:14" x14ac:dyDescent="0.2">
      <c r="N234" s="58">
        <f t="shared" si="2"/>
        <v>0</v>
      </c>
    </row>
    <row r="235" spans="14:14" x14ac:dyDescent="0.2">
      <c r="N235" s="58">
        <f t="shared" si="2"/>
        <v>0</v>
      </c>
    </row>
    <row r="236" spans="14:14" x14ac:dyDescent="0.2">
      <c r="N236" s="58">
        <f t="shared" si="2"/>
        <v>0</v>
      </c>
    </row>
    <row r="237" spans="14:14" x14ac:dyDescent="0.2">
      <c r="N237" s="58">
        <f t="shared" si="2"/>
        <v>0</v>
      </c>
    </row>
    <row r="238" spans="14:14" x14ac:dyDescent="0.2">
      <c r="N238" s="58">
        <f t="shared" si="2"/>
        <v>0</v>
      </c>
    </row>
    <row r="239" spans="14:14" x14ac:dyDescent="0.2">
      <c r="N239" s="58">
        <f t="shared" si="2"/>
        <v>0</v>
      </c>
    </row>
    <row r="240" spans="14:14" x14ac:dyDescent="0.2">
      <c r="N240" s="58">
        <f t="shared" si="2"/>
        <v>0</v>
      </c>
    </row>
    <row r="241" spans="14:14" x14ac:dyDescent="0.2">
      <c r="N241" s="58">
        <f t="shared" si="2"/>
        <v>0</v>
      </c>
    </row>
    <row r="242" spans="14:14" x14ac:dyDescent="0.2">
      <c r="N242" s="58">
        <f t="shared" si="2"/>
        <v>0</v>
      </c>
    </row>
    <row r="243" spans="14:14" x14ac:dyDescent="0.2">
      <c r="N243" s="58">
        <f t="shared" si="2"/>
        <v>0</v>
      </c>
    </row>
    <row r="244" spans="14:14" x14ac:dyDescent="0.2">
      <c r="N244" s="58">
        <f t="shared" si="2"/>
        <v>0</v>
      </c>
    </row>
    <row r="245" spans="14:14" x14ac:dyDescent="0.2">
      <c r="N245" s="58">
        <f t="shared" si="2"/>
        <v>0</v>
      </c>
    </row>
    <row r="246" spans="14:14" x14ac:dyDescent="0.2">
      <c r="N246" s="58">
        <f t="shared" si="2"/>
        <v>0</v>
      </c>
    </row>
    <row r="247" spans="14:14" x14ac:dyDescent="0.2">
      <c r="N247" s="58">
        <f t="shared" si="2"/>
        <v>0</v>
      </c>
    </row>
    <row r="248" spans="14:14" x14ac:dyDescent="0.2">
      <c r="N248" s="58">
        <f t="shared" si="2"/>
        <v>0</v>
      </c>
    </row>
    <row r="249" spans="14:14" x14ac:dyDescent="0.2">
      <c r="N249" s="58">
        <f t="shared" si="2"/>
        <v>0</v>
      </c>
    </row>
    <row r="250" spans="14:14" x14ac:dyDescent="0.2">
      <c r="N250" s="58">
        <f t="shared" si="2"/>
        <v>0</v>
      </c>
    </row>
    <row r="251" spans="14:14" x14ac:dyDescent="0.2">
      <c r="N251" s="58">
        <f t="shared" si="2"/>
        <v>0</v>
      </c>
    </row>
    <row r="252" spans="14:14" x14ac:dyDescent="0.2">
      <c r="N252" s="58">
        <f t="shared" ref="N252:N265" si="3">D252+F252+I252+K252</f>
        <v>0</v>
      </c>
    </row>
    <row r="253" spans="14:14" x14ac:dyDescent="0.2">
      <c r="N253" s="58">
        <f t="shared" si="3"/>
        <v>0</v>
      </c>
    </row>
    <row r="254" spans="14:14" x14ac:dyDescent="0.2">
      <c r="N254" s="58">
        <f t="shared" si="3"/>
        <v>0</v>
      </c>
    </row>
    <row r="255" spans="14:14" x14ac:dyDescent="0.2">
      <c r="N255" s="58">
        <f t="shared" si="3"/>
        <v>0</v>
      </c>
    </row>
    <row r="256" spans="14:14" x14ac:dyDescent="0.2">
      <c r="N256" s="58">
        <f t="shared" si="3"/>
        <v>0</v>
      </c>
    </row>
    <row r="257" spans="14:14" x14ac:dyDescent="0.2">
      <c r="N257" s="58">
        <f t="shared" si="3"/>
        <v>0</v>
      </c>
    </row>
    <row r="258" spans="14:14" x14ac:dyDescent="0.2">
      <c r="N258" s="58">
        <f t="shared" si="3"/>
        <v>0</v>
      </c>
    </row>
    <row r="259" spans="14:14" x14ac:dyDescent="0.2">
      <c r="N259" s="58">
        <f t="shared" si="3"/>
        <v>0</v>
      </c>
    </row>
    <row r="260" spans="14:14" x14ac:dyDescent="0.2">
      <c r="N260" s="58">
        <f t="shared" si="3"/>
        <v>0</v>
      </c>
    </row>
    <row r="261" spans="14:14" x14ac:dyDescent="0.2">
      <c r="N261" s="58">
        <f t="shared" si="3"/>
        <v>0</v>
      </c>
    </row>
    <row r="262" spans="14:14" x14ac:dyDescent="0.2">
      <c r="N262" s="58">
        <f t="shared" si="3"/>
        <v>0</v>
      </c>
    </row>
    <row r="263" spans="14:14" x14ac:dyDescent="0.2">
      <c r="N263" s="58">
        <f t="shared" si="3"/>
        <v>0</v>
      </c>
    </row>
    <row r="264" spans="14:14" x14ac:dyDescent="0.2">
      <c r="N264" s="58">
        <f t="shared" si="3"/>
        <v>0</v>
      </c>
    </row>
    <row r="265" spans="14:14" x14ac:dyDescent="0.2">
      <c r="N265" s="58">
        <f t="shared" si="3"/>
        <v>0</v>
      </c>
    </row>
  </sheetData>
  <sortState ref="A1:N264">
    <sortCondition ref="A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8"/>
  <sheetViews>
    <sheetView zoomScale="90" zoomScaleNormal="90" workbookViewId="0">
      <selection activeCell="L32" sqref="L32"/>
    </sheetView>
  </sheetViews>
  <sheetFormatPr defaultRowHeight="12" x14ac:dyDescent="0.2"/>
  <cols>
    <col min="1" max="1" width="15.140625" style="2" bestFit="1" customWidth="1"/>
    <col min="2" max="2" width="14.42578125" style="2" bestFit="1" customWidth="1"/>
    <col min="3" max="3" width="17.85546875" style="58" bestFit="1" customWidth="1"/>
    <col min="4" max="4" width="16.42578125" style="58" bestFit="1" customWidth="1"/>
    <col min="5" max="5" width="13.140625" style="2" bestFit="1" customWidth="1"/>
  </cols>
  <sheetData>
    <row r="1" spans="1:5" x14ac:dyDescent="0.2">
      <c r="A1" s="2" t="s">
        <v>342</v>
      </c>
      <c r="B1" s="2" t="s">
        <v>343</v>
      </c>
      <c r="C1" s="58" t="s">
        <v>295</v>
      </c>
      <c r="D1" s="58" t="s">
        <v>298</v>
      </c>
      <c r="E1" s="6" t="s">
        <v>104</v>
      </c>
    </row>
    <row r="2" spans="1:5" x14ac:dyDescent="0.2">
      <c r="A2" s="2">
        <v>18</v>
      </c>
      <c r="B2" s="2">
        <v>4</v>
      </c>
      <c r="C2" s="58">
        <v>1510245504.6390657</v>
      </c>
      <c r="D2" s="58">
        <v>-33305793.591248427</v>
      </c>
      <c r="E2" s="64">
        <v>164228</v>
      </c>
    </row>
    <row r="3" spans="1:5" x14ac:dyDescent="0.2">
      <c r="A3" s="2">
        <v>18</v>
      </c>
      <c r="B3" s="2">
        <v>6</v>
      </c>
      <c r="C3" s="58">
        <v>1510855695.1024065</v>
      </c>
      <c r="D3" s="58">
        <v>-33321496.294351518</v>
      </c>
      <c r="E3" s="2">
        <v>164228</v>
      </c>
    </row>
    <row r="4" spans="1:5" x14ac:dyDescent="0.2">
      <c r="A4" s="2">
        <v>18</v>
      </c>
      <c r="B4" s="2">
        <v>8</v>
      </c>
      <c r="C4" s="58">
        <v>1510869111.6141968</v>
      </c>
      <c r="D4" s="58">
        <v>-33323449.426271711</v>
      </c>
      <c r="E4" s="2">
        <v>164228</v>
      </c>
    </row>
    <row r="5" spans="1:5" x14ac:dyDescent="0.2">
      <c r="A5" s="2">
        <v>18</v>
      </c>
      <c r="B5" s="2">
        <v>10</v>
      </c>
      <c r="C5" s="58">
        <v>1510942019.3371563</v>
      </c>
      <c r="D5" s="58">
        <v>-33326297.583339579</v>
      </c>
      <c r="E5" s="2">
        <v>164228</v>
      </c>
    </row>
    <row r="6" spans="1:5" x14ac:dyDescent="0.2">
      <c r="A6" s="2">
        <v>18</v>
      </c>
      <c r="B6" s="2">
        <v>12</v>
      </c>
      <c r="C6" s="58">
        <v>1510949125.6028728</v>
      </c>
      <c r="D6" s="58">
        <v>-33317576.273690253</v>
      </c>
      <c r="E6" s="2">
        <v>164228</v>
      </c>
    </row>
    <row r="7" spans="1:5" x14ac:dyDescent="0.2">
      <c r="A7" s="35">
        <v>18</v>
      </c>
      <c r="B7" s="35">
        <v>14</v>
      </c>
      <c r="C7" s="65">
        <v>1510502613.6018248</v>
      </c>
      <c r="D7" s="65">
        <v>-33217610.678951457</v>
      </c>
      <c r="E7" s="34">
        <v>164228</v>
      </c>
    </row>
    <row r="8" spans="1:5" x14ac:dyDescent="0.2">
      <c r="A8" s="2">
        <v>19</v>
      </c>
      <c r="B8" s="2">
        <v>4</v>
      </c>
      <c r="C8" s="58">
        <v>1510598554.9134207</v>
      </c>
      <c r="D8" s="58">
        <v>-33371638.845168587</v>
      </c>
      <c r="E8" s="2">
        <v>164228</v>
      </c>
    </row>
    <row r="9" spans="1:5" x14ac:dyDescent="0.2">
      <c r="A9" s="2">
        <v>19</v>
      </c>
      <c r="B9" s="2">
        <v>6</v>
      </c>
      <c r="C9" s="58">
        <v>1510931323.4817762</v>
      </c>
      <c r="D9" s="58">
        <v>-33382617.45821045</v>
      </c>
      <c r="E9" s="2">
        <v>164228</v>
      </c>
    </row>
    <row r="10" spans="1:5" x14ac:dyDescent="0.2">
      <c r="A10" s="2">
        <v>19</v>
      </c>
      <c r="B10" s="2">
        <v>8</v>
      </c>
      <c r="C10" s="58">
        <v>1510924893.0314827</v>
      </c>
      <c r="D10" s="58">
        <v>-33382141.973402284</v>
      </c>
      <c r="E10" s="2">
        <v>164228</v>
      </c>
    </row>
    <row r="11" spans="1:5" x14ac:dyDescent="0.2">
      <c r="A11" s="2">
        <v>19</v>
      </c>
      <c r="B11" s="2">
        <v>10</v>
      </c>
      <c r="C11" s="58">
        <v>1510868696.3266058</v>
      </c>
      <c r="D11" s="58">
        <v>-33386101.672577977</v>
      </c>
      <c r="E11" s="2">
        <v>164228</v>
      </c>
    </row>
    <row r="12" spans="1:5" x14ac:dyDescent="0.2">
      <c r="A12" s="2">
        <v>19</v>
      </c>
      <c r="B12" s="2">
        <v>12</v>
      </c>
      <c r="C12" s="58">
        <v>1510880163.6648006</v>
      </c>
      <c r="D12" s="58">
        <v>-33384995.239848021</v>
      </c>
      <c r="E12" s="2">
        <v>164228</v>
      </c>
    </row>
    <row r="13" spans="1:5" x14ac:dyDescent="0.2">
      <c r="A13" s="35">
        <v>19</v>
      </c>
      <c r="B13" s="35">
        <v>14</v>
      </c>
      <c r="C13" s="65">
        <v>1510929185.7918634</v>
      </c>
      <c r="D13" s="65">
        <v>-33356159.41055781</v>
      </c>
      <c r="E13" s="35">
        <v>164228</v>
      </c>
    </row>
    <row r="14" spans="1:5" x14ac:dyDescent="0.2">
      <c r="A14" s="2">
        <v>20</v>
      </c>
      <c r="B14" s="2">
        <v>4</v>
      </c>
      <c r="C14" s="58">
        <v>1510567644.2292595</v>
      </c>
      <c r="D14" s="58">
        <v>-33431443.478860069</v>
      </c>
      <c r="E14" s="2">
        <v>164228</v>
      </c>
    </row>
    <row r="15" spans="1:5" x14ac:dyDescent="0.2">
      <c r="A15" s="2">
        <v>20</v>
      </c>
      <c r="B15" s="2">
        <v>6</v>
      </c>
      <c r="C15" s="58">
        <v>1510759546.5304203</v>
      </c>
      <c r="D15" s="58">
        <v>-33438591.973278612</v>
      </c>
      <c r="E15" s="2">
        <v>164228</v>
      </c>
    </row>
    <row r="16" spans="1:5" x14ac:dyDescent="0.2">
      <c r="A16" s="2">
        <v>20</v>
      </c>
      <c r="B16" s="2">
        <v>8</v>
      </c>
      <c r="C16" s="58">
        <v>1510791395.0120192</v>
      </c>
      <c r="D16" s="58">
        <v>-33442744.150937378</v>
      </c>
      <c r="E16" s="2">
        <v>164228</v>
      </c>
    </row>
    <row r="17" spans="1:5" x14ac:dyDescent="0.2">
      <c r="A17" s="2">
        <v>20</v>
      </c>
      <c r="B17" s="2">
        <v>10</v>
      </c>
      <c r="C17" s="58">
        <v>1510778679.5752299</v>
      </c>
      <c r="D17" s="58">
        <v>-33444057.005117368</v>
      </c>
      <c r="E17" s="2">
        <v>164228</v>
      </c>
    </row>
    <row r="18" spans="1:5" x14ac:dyDescent="0.2">
      <c r="A18" s="2">
        <v>20</v>
      </c>
      <c r="B18" s="2">
        <v>12</v>
      </c>
      <c r="C18" s="58">
        <v>1510778156.794342</v>
      </c>
      <c r="D18" s="58">
        <v>-33444761.683714163</v>
      </c>
      <c r="E18" s="2">
        <v>164228</v>
      </c>
    </row>
    <row r="19" spans="1:5" x14ac:dyDescent="0.2">
      <c r="A19" s="2">
        <v>20</v>
      </c>
      <c r="B19" s="2">
        <v>14</v>
      </c>
      <c r="C19" s="58">
        <v>1510712689.7804193</v>
      </c>
      <c r="D19" s="58">
        <v>-33435858.435540248</v>
      </c>
      <c r="E19" s="2">
        <v>164228</v>
      </c>
    </row>
    <row r="20" spans="1:5" x14ac:dyDescent="0.2">
      <c r="A20" s="35">
        <v>20</v>
      </c>
      <c r="B20" s="35">
        <v>16</v>
      </c>
      <c r="C20" s="65">
        <v>1510959923.3437643</v>
      </c>
      <c r="D20" s="65">
        <v>-33343438.546254288</v>
      </c>
      <c r="E20" s="35">
        <v>164228</v>
      </c>
    </row>
    <row r="21" spans="1:5" x14ac:dyDescent="0.2">
      <c r="A21" s="2">
        <v>21</v>
      </c>
      <c r="B21" s="2">
        <v>4</v>
      </c>
      <c r="C21" s="58">
        <v>1510536382.8629913</v>
      </c>
      <c r="D21" s="58">
        <v>-33489778.574653976</v>
      </c>
      <c r="E21" s="2">
        <v>164228</v>
      </c>
    </row>
    <row r="22" spans="1:5" x14ac:dyDescent="0.2">
      <c r="A22" s="2">
        <v>21</v>
      </c>
      <c r="B22" s="2">
        <v>6</v>
      </c>
      <c r="C22" s="58">
        <v>1510656508.8110828</v>
      </c>
      <c r="D22" s="58">
        <v>-33499550.712185193</v>
      </c>
      <c r="E22" s="2">
        <v>164228</v>
      </c>
    </row>
    <row r="23" spans="1:5" x14ac:dyDescent="0.2">
      <c r="A23" s="2">
        <v>21</v>
      </c>
      <c r="B23" s="2">
        <v>8</v>
      </c>
      <c r="C23" s="58">
        <v>1510796961.16677</v>
      </c>
      <c r="D23" s="58">
        <v>-33501598.861223772</v>
      </c>
      <c r="E23" s="2">
        <v>164228</v>
      </c>
    </row>
    <row r="24" spans="1:5" x14ac:dyDescent="0.2">
      <c r="A24" s="2">
        <v>21</v>
      </c>
      <c r="B24" s="2">
        <v>10</v>
      </c>
      <c r="C24" s="58">
        <v>1510746491.2504225</v>
      </c>
      <c r="D24" s="58">
        <v>-33502807.949886546</v>
      </c>
      <c r="E24" s="2">
        <v>164228</v>
      </c>
    </row>
    <row r="25" spans="1:5" x14ac:dyDescent="0.2">
      <c r="A25" s="2">
        <v>21</v>
      </c>
      <c r="B25" s="2">
        <v>12</v>
      </c>
      <c r="C25" s="58">
        <v>1510765400.04124</v>
      </c>
      <c r="D25" s="58">
        <v>-33505020.88809612</v>
      </c>
      <c r="E25" s="2">
        <v>164228</v>
      </c>
    </row>
    <row r="26" spans="1:5" x14ac:dyDescent="0.2">
      <c r="A26" s="2">
        <v>21</v>
      </c>
      <c r="B26" s="2">
        <v>14</v>
      </c>
      <c r="C26" s="58">
        <v>1510782039.9328175</v>
      </c>
      <c r="D26" s="58">
        <v>-33503308.894691523</v>
      </c>
      <c r="E26" s="2">
        <v>164228</v>
      </c>
    </row>
    <row r="27" spans="1:5" x14ac:dyDescent="0.2">
      <c r="A27" s="35">
        <v>21</v>
      </c>
      <c r="B27" s="35">
        <v>16</v>
      </c>
      <c r="C27" s="65">
        <v>1510856535.1539497</v>
      </c>
      <c r="D27" s="65">
        <v>-33476829.45200314</v>
      </c>
      <c r="E27" s="35">
        <v>164228</v>
      </c>
    </row>
    <row r="28" spans="1:5" x14ac:dyDescent="0.2">
      <c r="A28" s="2">
        <v>22</v>
      </c>
      <c r="B28" s="2">
        <v>4</v>
      </c>
      <c r="C28" s="58">
        <v>1510465651.9508266</v>
      </c>
      <c r="D28" s="58">
        <v>-33579128.085440725</v>
      </c>
      <c r="E28" s="2">
        <v>164228</v>
      </c>
    </row>
    <row r="29" spans="1:5" x14ac:dyDescent="0.2">
      <c r="A29" s="2">
        <v>22</v>
      </c>
      <c r="B29" s="2">
        <v>6</v>
      </c>
      <c r="C29" s="58">
        <v>1510622902.4140272</v>
      </c>
      <c r="D29" s="58">
        <v>-33587046.682032578</v>
      </c>
      <c r="E29" s="2">
        <v>164228</v>
      </c>
    </row>
    <row r="30" spans="1:5" x14ac:dyDescent="0.2">
      <c r="A30" s="2">
        <v>22</v>
      </c>
      <c r="B30" s="2">
        <v>8</v>
      </c>
      <c r="C30" s="58">
        <v>1510678607.6792803</v>
      </c>
      <c r="D30" s="58">
        <v>-33589919.931914382</v>
      </c>
      <c r="E30" s="2">
        <v>164228</v>
      </c>
    </row>
    <row r="31" spans="1:5" x14ac:dyDescent="0.2">
      <c r="A31" s="2">
        <v>22</v>
      </c>
      <c r="B31" s="2">
        <v>10</v>
      </c>
      <c r="C31" s="58">
        <v>1510635711.6937332</v>
      </c>
      <c r="D31" s="58">
        <v>-33591915.048250951</v>
      </c>
      <c r="E31" s="2">
        <v>164228</v>
      </c>
    </row>
    <row r="32" spans="1:5" x14ac:dyDescent="0.2">
      <c r="A32" s="2">
        <v>22</v>
      </c>
      <c r="B32" s="2">
        <v>12</v>
      </c>
      <c r="C32" s="58">
        <v>1510649938.6744776</v>
      </c>
      <c r="D32" s="58">
        <v>-33595104.685951248</v>
      </c>
      <c r="E32" s="2">
        <v>164228</v>
      </c>
    </row>
    <row r="33" spans="1:5" x14ac:dyDescent="0.2">
      <c r="A33" s="2">
        <v>22</v>
      </c>
      <c r="B33" s="2">
        <v>14</v>
      </c>
      <c r="C33" s="58">
        <v>1510630172.9433575</v>
      </c>
      <c r="D33" s="58">
        <v>-33594903.758724183</v>
      </c>
      <c r="E33" s="2">
        <v>164228</v>
      </c>
    </row>
    <row r="34" spans="1:5" x14ac:dyDescent="0.2">
      <c r="A34" s="2">
        <v>22</v>
      </c>
      <c r="B34" s="2">
        <v>16</v>
      </c>
      <c r="C34" s="58">
        <v>1510602028.1492805</v>
      </c>
      <c r="D34" s="58">
        <v>-33585558.335686058</v>
      </c>
      <c r="E34" s="2">
        <v>164228</v>
      </c>
    </row>
    <row r="35" spans="1:5" x14ac:dyDescent="0.2">
      <c r="A35" s="2">
        <v>22</v>
      </c>
      <c r="B35" s="2">
        <v>18</v>
      </c>
      <c r="C35" s="58">
        <v>1510815501.4675388</v>
      </c>
      <c r="D35" s="58">
        <v>-33492279.808274027</v>
      </c>
      <c r="E35" s="2">
        <v>164228</v>
      </c>
    </row>
    <row r="36" spans="1:5" x14ac:dyDescent="0.2">
      <c r="A36" s="2" t="s">
        <v>342</v>
      </c>
      <c r="B36" s="2" t="s">
        <v>343</v>
      </c>
      <c r="C36" s="58" t="s">
        <v>295</v>
      </c>
      <c r="D36" s="58" t="s">
        <v>298</v>
      </c>
      <c r="E36" s="6" t="s">
        <v>104</v>
      </c>
    </row>
    <row r="37" spans="1:5" x14ac:dyDescent="0.2">
      <c r="E37" s="6"/>
    </row>
    <row r="38" spans="1:5" x14ac:dyDescent="0.2">
      <c r="E38" s="64"/>
    </row>
  </sheetData>
  <sortState ref="A1:E37">
    <sortCondition ref="A1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>
      <selection activeCell="I24" sqref="I24"/>
    </sheetView>
  </sheetViews>
  <sheetFormatPr defaultRowHeight="12" x14ac:dyDescent="0.2"/>
  <cols>
    <col min="1" max="1" width="14.85546875" style="2" bestFit="1" customWidth="1"/>
    <col min="2" max="2" width="14.140625" style="2" bestFit="1" customWidth="1"/>
    <col min="3" max="3" width="17" style="2" bestFit="1" customWidth="1"/>
    <col min="4" max="4" width="15.140625" style="58" bestFit="1" customWidth="1"/>
    <col min="5" max="5" width="13.140625" style="2" bestFit="1" customWidth="1"/>
    <col min="6" max="6" width="13.7109375" style="2" bestFit="1" customWidth="1"/>
  </cols>
  <sheetData>
    <row r="1" spans="1:6" x14ac:dyDescent="0.2">
      <c r="A1" s="2" t="s">
        <v>340</v>
      </c>
      <c r="B1" s="2" t="s">
        <v>341</v>
      </c>
      <c r="C1" s="58" t="s">
        <v>295</v>
      </c>
      <c r="D1" s="58" t="s">
        <v>298</v>
      </c>
      <c r="E1" s="9" t="s">
        <v>104</v>
      </c>
      <c r="F1" s="9" t="s">
        <v>105</v>
      </c>
    </row>
    <row r="2" spans="1:6" x14ac:dyDescent="0.2">
      <c r="A2" s="2">
        <v>3</v>
      </c>
      <c r="B2" s="2">
        <v>2</v>
      </c>
      <c r="C2" s="2">
        <v>1530730887.4187937</v>
      </c>
      <c r="D2" s="58">
        <v>-16773252.762649216</v>
      </c>
      <c r="E2" s="2">
        <v>40.661777496337891</v>
      </c>
      <c r="F2" s="2">
        <v>78.525260925292969</v>
      </c>
    </row>
    <row r="3" spans="1:6" x14ac:dyDescent="0.2">
      <c r="A3" s="2">
        <v>4</v>
      </c>
      <c r="B3" s="2">
        <v>2</v>
      </c>
      <c r="C3" s="2">
        <v>1521261401.7028847</v>
      </c>
      <c r="D3" s="58">
        <v>-17619930.141408313</v>
      </c>
      <c r="E3" s="2">
        <v>39.803138732910156</v>
      </c>
      <c r="F3" s="2">
        <v>77.885169982910156</v>
      </c>
    </row>
    <row r="4" spans="1:6" x14ac:dyDescent="0.2">
      <c r="A4" s="2">
        <v>4</v>
      </c>
      <c r="B4" s="2">
        <v>3</v>
      </c>
      <c r="C4" s="2">
        <v>1530017964.9428101</v>
      </c>
      <c r="D4" s="58">
        <v>-18209301.738292363</v>
      </c>
      <c r="E4" s="2">
        <v>38.781524658203125</v>
      </c>
      <c r="F4" s="2">
        <v>76.742576599121094</v>
      </c>
    </row>
    <row r="5" spans="1:6" x14ac:dyDescent="0.2">
      <c r="A5" s="2">
        <v>5</v>
      </c>
      <c r="B5" s="2">
        <v>2</v>
      </c>
      <c r="C5" s="2">
        <v>1518071404.2298079</v>
      </c>
      <c r="D5" s="58">
        <v>-18431366.795789517</v>
      </c>
      <c r="E5" s="2">
        <v>39.579299926757812</v>
      </c>
      <c r="F5" s="2">
        <v>77.777137756347656</v>
      </c>
    </row>
    <row r="6" spans="1:6" x14ac:dyDescent="0.2">
      <c r="A6" s="2">
        <v>5</v>
      </c>
      <c r="B6" s="2">
        <v>3</v>
      </c>
      <c r="C6" s="2">
        <v>1521492608.0638132</v>
      </c>
      <c r="D6" s="58">
        <v>-18783196.826097455</v>
      </c>
      <c r="E6" s="2">
        <v>38.330039978027344</v>
      </c>
      <c r="F6" s="2">
        <v>76.441749572753906</v>
      </c>
    </row>
    <row r="7" spans="1:6" x14ac:dyDescent="0.2">
      <c r="A7" s="2">
        <v>5</v>
      </c>
      <c r="B7" s="2">
        <v>4</v>
      </c>
      <c r="C7" s="2">
        <v>1529618364.2791729</v>
      </c>
      <c r="D7" s="58">
        <v>-18705206.795382749</v>
      </c>
      <c r="E7" s="2">
        <v>38.234054565429687</v>
      </c>
      <c r="F7" s="2">
        <v>76.251052856445312</v>
      </c>
    </row>
    <row r="8" spans="1:6" x14ac:dyDescent="0.2">
      <c r="A8" s="2">
        <v>6</v>
      </c>
      <c r="B8" s="2">
        <v>2</v>
      </c>
      <c r="C8" s="2">
        <v>1515730851.5645456</v>
      </c>
      <c r="D8" s="58">
        <v>-18878436.364554211</v>
      </c>
      <c r="E8" s="2">
        <v>39.476627349853516</v>
      </c>
      <c r="F8" s="2">
        <v>77.721519470214844</v>
      </c>
    </row>
    <row r="9" spans="1:6" x14ac:dyDescent="0.2">
      <c r="A9" s="2">
        <v>6</v>
      </c>
      <c r="B9" s="2">
        <v>3</v>
      </c>
      <c r="C9" s="2">
        <v>1520044722.0435801</v>
      </c>
      <c r="D9" s="58">
        <v>-19342514.926722746</v>
      </c>
      <c r="E9" s="2">
        <v>38.239086151123047</v>
      </c>
      <c r="F9" s="2">
        <v>76.448081970214844</v>
      </c>
    </row>
    <row r="10" spans="1:6" x14ac:dyDescent="0.2">
      <c r="A10" s="2">
        <v>6</v>
      </c>
      <c r="B10" s="2">
        <v>4</v>
      </c>
      <c r="C10" s="2">
        <v>1522491679.5233212</v>
      </c>
      <c r="D10" s="58">
        <v>-19323517.269995693</v>
      </c>
      <c r="E10" s="2">
        <v>37.96868896484375</v>
      </c>
      <c r="F10" s="2">
        <v>76.120750427246094</v>
      </c>
    </row>
    <row r="11" spans="1:6" x14ac:dyDescent="0.2">
      <c r="A11" s="2">
        <v>6</v>
      </c>
      <c r="B11" s="2">
        <v>5</v>
      </c>
      <c r="C11" s="2">
        <v>1529164975.9554148</v>
      </c>
      <c r="D11" s="58">
        <v>-19110976.583965298</v>
      </c>
      <c r="E11" s="2">
        <v>38.080963134765625</v>
      </c>
      <c r="F11" s="2">
        <v>76.129844665527344</v>
      </c>
    </row>
    <row r="12" spans="1:6" x14ac:dyDescent="0.2">
      <c r="A12" s="2">
        <v>7</v>
      </c>
      <c r="B12" s="2">
        <v>2</v>
      </c>
      <c r="C12" s="2">
        <v>1514684775.4540434</v>
      </c>
      <c r="D12" s="58">
        <v>-19298911.89704892</v>
      </c>
      <c r="E12" s="2">
        <v>39.433933258056641</v>
      </c>
      <c r="F12" s="2">
        <v>77.705513000488281</v>
      </c>
    </row>
    <row r="13" spans="1:6" x14ac:dyDescent="0.2">
      <c r="A13" s="2">
        <v>7</v>
      </c>
      <c r="B13" s="2">
        <v>3</v>
      </c>
      <c r="C13" s="2">
        <v>1516914012.8714924</v>
      </c>
      <c r="D13" s="58">
        <v>-19967515.851120304</v>
      </c>
      <c r="E13" s="2">
        <v>38.149063110351563</v>
      </c>
      <c r="F13" s="2">
        <v>76.387237548828125</v>
      </c>
    </row>
    <row r="14" spans="1:6" x14ac:dyDescent="0.2">
      <c r="A14" s="2">
        <v>7</v>
      </c>
      <c r="B14" s="2">
        <v>4</v>
      </c>
      <c r="C14" s="2">
        <v>1518238008.5222511</v>
      </c>
      <c r="D14" s="58">
        <v>-19936093.613633092</v>
      </c>
      <c r="E14" s="2">
        <v>37.835113525390625</v>
      </c>
      <c r="F14" s="2">
        <v>76.053985595703125</v>
      </c>
    </row>
    <row r="15" spans="1:6" x14ac:dyDescent="0.2">
      <c r="A15" s="2">
        <v>7</v>
      </c>
      <c r="B15" s="2">
        <v>5</v>
      </c>
      <c r="C15" s="2">
        <v>1520599463.8110991</v>
      </c>
      <c r="D15" s="58">
        <v>-19754108.348821368</v>
      </c>
      <c r="E15" s="2">
        <v>37.820491790771484</v>
      </c>
      <c r="F15" s="2">
        <v>75.984771728515625</v>
      </c>
    </row>
    <row r="16" spans="1:6" x14ac:dyDescent="0.2">
      <c r="A16" s="2">
        <v>7</v>
      </c>
      <c r="B16" s="2">
        <v>6</v>
      </c>
      <c r="C16" s="2">
        <v>1528750327.4974632</v>
      </c>
      <c r="D16" s="58">
        <v>-19460219.50351679</v>
      </c>
      <c r="E16" s="2">
        <v>38.036228179931641</v>
      </c>
      <c r="F16" s="2">
        <v>76.106025695800781</v>
      </c>
    </row>
    <row r="17" spans="3:6" x14ac:dyDescent="0.2">
      <c r="C17" s="58"/>
      <c r="E17" s="64"/>
      <c r="F17" s="64"/>
    </row>
  </sheetData>
  <sortState ref="A2:F17">
    <sortCondition ref="A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6"/>
  <sheetViews>
    <sheetView zoomScale="90" zoomScaleNormal="90" workbookViewId="0">
      <selection activeCell="O26" sqref="O26"/>
    </sheetView>
  </sheetViews>
  <sheetFormatPr defaultRowHeight="12" x14ac:dyDescent="0.2"/>
  <cols>
    <col min="1" max="1" width="17.28515625" style="2" bestFit="1" customWidth="1"/>
    <col min="2" max="2" width="16.85546875" style="2" bestFit="1" customWidth="1"/>
    <col min="3" max="3" width="17" style="58" bestFit="1" customWidth="1"/>
    <col min="4" max="4" width="18.28515625" style="58" bestFit="1" customWidth="1"/>
    <col min="5" max="5" width="13.140625" style="2" bestFit="1" customWidth="1"/>
    <col min="6" max="6" width="13.7109375" style="2" bestFit="1" customWidth="1"/>
  </cols>
  <sheetData>
    <row r="1" spans="1:6" x14ac:dyDescent="0.2">
      <c r="A1" s="2" t="s">
        <v>344</v>
      </c>
      <c r="B1" s="2" t="s">
        <v>345</v>
      </c>
      <c r="C1" s="58" t="s">
        <v>295</v>
      </c>
      <c r="D1" s="58" t="s">
        <v>339</v>
      </c>
      <c r="E1" s="9" t="s">
        <v>104</v>
      </c>
      <c r="F1" s="9" t="s">
        <v>105</v>
      </c>
    </row>
    <row r="2" spans="1:6" x14ac:dyDescent="0.2">
      <c r="A2" s="2">
        <v>3</v>
      </c>
      <c r="B2" s="2">
        <v>2</v>
      </c>
      <c r="C2" s="58">
        <v>1537000756.8446751</v>
      </c>
      <c r="D2" s="58">
        <v>-6280005.032360794</v>
      </c>
      <c r="E2" s="2">
        <v>121.78764343261719</v>
      </c>
      <c r="F2" s="2">
        <v>7.4555046081542967E-2</v>
      </c>
    </row>
    <row r="3" spans="1:6" x14ac:dyDescent="0.2">
      <c r="A3" s="2">
        <v>4</v>
      </c>
      <c r="B3" s="2">
        <v>2</v>
      </c>
      <c r="C3" s="58">
        <v>1533520345.5042801</v>
      </c>
      <c r="D3" s="58">
        <v>-6422509.4023573752</v>
      </c>
      <c r="E3" s="2">
        <v>121.79883575439453</v>
      </c>
      <c r="F3" s="2">
        <v>7.4816116333007818E-2</v>
      </c>
    </row>
    <row r="4" spans="1:6" x14ac:dyDescent="0.2">
      <c r="A4" s="2">
        <v>4</v>
      </c>
      <c r="B4" s="2">
        <v>3</v>
      </c>
      <c r="C4" s="58">
        <v>1533636376.3358574</v>
      </c>
      <c r="D4" s="58">
        <v>-6912250.853529213</v>
      </c>
      <c r="E4" s="2">
        <v>120.41046142578125</v>
      </c>
      <c r="F4" s="2">
        <v>7.3372619628906247E-2</v>
      </c>
    </row>
    <row r="5" spans="1:6" x14ac:dyDescent="0.2">
      <c r="A5" s="2">
        <v>5</v>
      </c>
      <c r="B5" s="2">
        <v>2</v>
      </c>
      <c r="C5" s="58">
        <v>1532952391.0164433</v>
      </c>
      <c r="D5" s="58">
        <v>-6556706.4457435422</v>
      </c>
      <c r="E5" s="2">
        <v>121.792724609375</v>
      </c>
      <c r="F5" s="2">
        <v>7.4837272644042968E-2</v>
      </c>
    </row>
    <row r="6" spans="1:6" x14ac:dyDescent="0.2">
      <c r="A6" s="2">
        <v>5</v>
      </c>
      <c r="B6" s="2">
        <v>3</v>
      </c>
      <c r="C6" s="58">
        <v>1532535580.1789913</v>
      </c>
      <c r="D6" s="58">
        <v>-7159645.3955964195</v>
      </c>
      <c r="E6" s="2">
        <v>120.46963500976562</v>
      </c>
      <c r="F6" s="2">
        <v>7.3504493713378902E-2</v>
      </c>
    </row>
    <row r="7" spans="1:6" x14ac:dyDescent="0.2">
      <c r="A7" s="2">
        <v>5</v>
      </c>
      <c r="B7" s="2">
        <v>4</v>
      </c>
      <c r="C7" s="58">
        <v>1533224157.6244154</v>
      </c>
      <c r="D7" s="58">
        <v>-7176382.9702321133</v>
      </c>
      <c r="E7" s="2">
        <v>120.30230712890625</v>
      </c>
      <c r="F7" s="2">
        <v>7.3283706665039056E-2</v>
      </c>
    </row>
    <row r="8" spans="1:6" x14ac:dyDescent="0.2">
      <c r="A8" s="2">
        <v>6</v>
      </c>
      <c r="B8" s="2">
        <v>2</v>
      </c>
      <c r="C8" s="58">
        <v>1532884617.032135</v>
      </c>
      <c r="D8" s="58">
        <v>-6597132.5202986831</v>
      </c>
      <c r="E8" s="2">
        <v>121.78489685058594</v>
      </c>
      <c r="F8" s="2">
        <v>7.4833404541015627E-2</v>
      </c>
    </row>
    <row r="9" spans="1:6" x14ac:dyDescent="0.2">
      <c r="A9" s="2">
        <v>6</v>
      </c>
      <c r="B9" s="2">
        <v>3</v>
      </c>
      <c r="C9" s="58">
        <v>1532445595.2234306</v>
      </c>
      <c r="D9" s="58">
        <v>-7158202.14492309</v>
      </c>
      <c r="E9" s="2">
        <v>120.48120880126953</v>
      </c>
      <c r="F9" s="2">
        <v>7.3525245666503911E-2</v>
      </c>
    </row>
    <row r="10" spans="1:6" x14ac:dyDescent="0.2">
      <c r="A10" s="2">
        <v>6</v>
      </c>
      <c r="B10" s="2">
        <v>4</v>
      </c>
      <c r="C10" s="58">
        <v>1532563066.911335</v>
      </c>
      <c r="D10" s="58">
        <v>-7166527.5196156288</v>
      </c>
      <c r="E10" s="2">
        <v>120.38104248046875</v>
      </c>
      <c r="F10" s="2">
        <v>7.3420059204101565E-2</v>
      </c>
    </row>
    <row r="11" spans="1:6" x14ac:dyDescent="0.2">
      <c r="A11" s="2">
        <v>6</v>
      </c>
      <c r="B11" s="2">
        <v>5</v>
      </c>
      <c r="C11" s="58">
        <v>1533134000.6584768</v>
      </c>
      <c r="D11" s="58">
        <v>-7242280.5525961714</v>
      </c>
      <c r="E11" s="2">
        <v>120.27904510498047</v>
      </c>
      <c r="F11" s="2">
        <v>7.3260002136230462E-2</v>
      </c>
    </row>
    <row r="12" spans="1:6" x14ac:dyDescent="0.2">
      <c r="A12" s="2">
        <v>7</v>
      </c>
      <c r="B12" s="2">
        <v>2</v>
      </c>
      <c r="C12" s="58">
        <v>1532767190.7661448</v>
      </c>
      <c r="D12" s="58">
        <v>-6742150.6016852735</v>
      </c>
      <c r="E12" s="2">
        <v>121.76087951660156</v>
      </c>
      <c r="F12" s="2">
        <v>7.4809211730957031E-2</v>
      </c>
    </row>
    <row r="13" spans="1:6" x14ac:dyDescent="0.2">
      <c r="A13" s="2">
        <v>7</v>
      </c>
      <c r="B13" s="2">
        <v>3</v>
      </c>
      <c r="C13" s="58">
        <v>1532212253.199914</v>
      </c>
      <c r="D13" s="58">
        <v>-7414861.6785224322</v>
      </c>
      <c r="E13" s="2">
        <v>120.46392822265625</v>
      </c>
      <c r="F13" s="2">
        <v>7.3508010864257817E-2</v>
      </c>
    </row>
    <row r="14" spans="1:6" x14ac:dyDescent="0.2">
      <c r="A14" s="2">
        <v>7</v>
      </c>
      <c r="B14" s="2">
        <v>4</v>
      </c>
      <c r="C14" s="58">
        <v>1532260376.0184879</v>
      </c>
      <c r="D14" s="58">
        <v>-7422253.1685162727</v>
      </c>
      <c r="E14" s="2">
        <v>120.37317657470703</v>
      </c>
      <c r="F14" s="2">
        <v>7.3415405273437498E-2</v>
      </c>
    </row>
    <row r="15" spans="1:6" x14ac:dyDescent="0.2">
      <c r="A15" s="2">
        <v>7</v>
      </c>
      <c r="B15" s="2">
        <v>5</v>
      </c>
      <c r="C15" s="58">
        <v>1532251183.8285933</v>
      </c>
      <c r="D15" s="58">
        <v>-7504062.4909438826</v>
      </c>
      <c r="E15" s="2">
        <v>120.35319519042969</v>
      </c>
      <c r="F15" s="2">
        <v>7.3387878417968747E-2</v>
      </c>
    </row>
    <row r="16" spans="1:6" x14ac:dyDescent="0.2">
      <c r="A16" s="2">
        <v>7</v>
      </c>
      <c r="B16" s="2">
        <v>6</v>
      </c>
      <c r="C16" s="58">
        <v>1532968863.460021</v>
      </c>
      <c r="D16" s="58">
        <v>-7514608.5964641189</v>
      </c>
      <c r="E16" s="2">
        <v>120.26503753662109</v>
      </c>
      <c r="F16" s="2">
        <v>7.3244705200195312E-2</v>
      </c>
    </row>
  </sheetData>
  <sortState ref="A2:F17">
    <sortCondition ref="A1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8"/>
  <sheetViews>
    <sheetView topLeftCell="D22" zoomScale="60" zoomScaleNormal="60" workbookViewId="0">
      <selection activeCell="AG56" sqref="AG56:AG57"/>
    </sheetView>
  </sheetViews>
  <sheetFormatPr defaultRowHeight="12" x14ac:dyDescent="0.2"/>
  <cols>
    <col min="1" max="1" width="24.42578125" bestFit="1" customWidth="1"/>
    <col min="3" max="3" width="13.140625" bestFit="1" customWidth="1"/>
    <col min="5" max="5" width="16.28515625" bestFit="1" customWidth="1"/>
    <col min="15" max="15" width="25.28515625" bestFit="1" customWidth="1"/>
  </cols>
  <sheetData>
    <row r="1" spans="1:14" x14ac:dyDescent="0.2">
      <c r="A1" s="59" t="s">
        <v>115</v>
      </c>
      <c r="B1" s="59"/>
      <c r="C1" s="59" t="s">
        <v>116</v>
      </c>
      <c r="D1" s="59"/>
      <c r="E1" s="59" t="s">
        <v>148</v>
      </c>
      <c r="F1" s="59"/>
      <c r="G1" s="59" t="s">
        <v>126</v>
      </c>
      <c r="H1" s="59"/>
      <c r="I1" s="59" t="s">
        <v>150</v>
      </c>
      <c r="J1" s="59"/>
      <c r="K1" s="59" t="s">
        <v>334</v>
      </c>
      <c r="L1" s="59"/>
      <c r="M1" t="s">
        <v>335</v>
      </c>
      <c r="N1">
        <v>0.82503604888916016</v>
      </c>
    </row>
    <row r="2" spans="1:14" x14ac:dyDescent="0.2">
      <c r="A2" s="2" t="s">
        <v>302</v>
      </c>
      <c r="B2" s="2">
        <v>2.3302123881876469E-3</v>
      </c>
      <c r="C2" s="2" t="s">
        <v>308</v>
      </c>
      <c r="D2" s="2">
        <v>3.8189839106053114E-3</v>
      </c>
      <c r="E2" s="2" t="s">
        <v>314</v>
      </c>
      <c r="F2" s="2">
        <v>1.0490388609468937E-2</v>
      </c>
      <c r="G2" s="2" t="s">
        <v>325</v>
      </c>
      <c r="H2" s="2">
        <v>1.0777924035210162E-4</v>
      </c>
      <c r="I2" s="2" t="s">
        <v>329</v>
      </c>
      <c r="J2" s="2">
        <v>2.1862339053768665E-5</v>
      </c>
      <c r="K2" s="2" t="s">
        <v>332</v>
      </c>
      <c r="L2" s="2">
        <v>4.9246852286159992E-3</v>
      </c>
    </row>
    <row r="3" spans="1:14" x14ac:dyDescent="0.2">
      <c r="A3" s="2" t="s">
        <v>303</v>
      </c>
      <c r="B3" s="2">
        <v>1.5386346494778991E-3</v>
      </c>
      <c r="C3" s="2" t="s">
        <v>309</v>
      </c>
      <c r="D3" s="2">
        <v>9.6553878393024206E-5</v>
      </c>
      <c r="E3" s="2" t="s">
        <v>315</v>
      </c>
      <c r="F3" s="2">
        <v>6.1614019796252251E-3</v>
      </c>
      <c r="G3" s="2" t="s">
        <v>326</v>
      </c>
      <c r="H3" s="2">
        <v>1.0480252094566822E-2</v>
      </c>
      <c r="I3" s="2" t="s">
        <v>330</v>
      </c>
      <c r="J3" s="2">
        <v>1.5127493999898434E-2</v>
      </c>
      <c r="K3" s="2" t="s">
        <v>333</v>
      </c>
      <c r="L3" s="2">
        <v>8.6045829812064767E-4</v>
      </c>
    </row>
    <row r="4" spans="1:14" x14ac:dyDescent="0.2">
      <c r="A4" s="2" t="s">
        <v>304</v>
      </c>
      <c r="B4" s="2">
        <v>4.4512597378343344E-4</v>
      </c>
      <c r="C4" s="2" t="s">
        <v>310</v>
      </c>
      <c r="D4" s="2">
        <v>3.3864104188978672E-3</v>
      </c>
      <c r="E4" s="2" t="s">
        <v>316</v>
      </c>
      <c r="F4" s="2">
        <v>1.1478441767394543E-2</v>
      </c>
      <c r="G4" s="2" t="s">
        <v>327</v>
      </c>
      <c r="H4" s="2">
        <v>6.8165955599397421E-4</v>
      </c>
      <c r="I4" s="2" t="s">
        <v>331</v>
      </c>
      <c r="J4" s="2">
        <v>4.1146609873976558E-5</v>
      </c>
      <c r="K4" s="2"/>
      <c r="L4" s="2"/>
    </row>
    <row r="5" spans="1:14" x14ac:dyDescent="0.2">
      <c r="A5" s="2" t="s">
        <v>305</v>
      </c>
      <c r="B5" s="2">
        <v>2.1553123369812965E-3</v>
      </c>
      <c r="C5" s="2" t="s">
        <v>311</v>
      </c>
      <c r="D5" s="2">
        <v>3.985576331615448E-3</v>
      </c>
      <c r="E5" s="2" t="s">
        <v>317</v>
      </c>
      <c r="F5" s="2">
        <v>4.0479935705661774E-3</v>
      </c>
      <c r="G5" s="2" t="s">
        <v>328</v>
      </c>
      <c r="H5" s="2">
        <v>2.9117492958903313E-2</v>
      </c>
      <c r="I5" s="2"/>
      <c r="J5" s="2"/>
      <c r="K5" s="2"/>
      <c r="L5" s="2"/>
    </row>
    <row r="6" spans="1:14" x14ac:dyDescent="0.2">
      <c r="A6" s="2" t="s">
        <v>307</v>
      </c>
      <c r="B6" s="2">
        <v>3.1296891393139958E-4</v>
      </c>
      <c r="C6" s="2" t="s">
        <v>312</v>
      </c>
      <c r="D6" s="2">
        <v>4.8787943087518215E-3</v>
      </c>
      <c r="E6" s="2" t="s">
        <v>318</v>
      </c>
      <c r="F6" s="2">
        <v>2.8757250402122736E-3</v>
      </c>
      <c r="G6" s="2"/>
      <c r="H6" s="2"/>
      <c r="I6" s="2"/>
      <c r="J6" s="2"/>
      <c r="K6" s="2"/>
      <c r="L6" s="2"/>
    </row>
    <row r="7" spans="1:14" x14ac:dyDescent="0.2">
      <c r="A7" s="2" t="s">
        <v>306</v>
      </c>
      <c r="B7" s="2">
        <v>4.3931505642831326E-3</v>
      </c>
      <c r="C7" s="2" t="s">
        <v>313</v>
      </c>
      <c r="D7" s="2">
        <v>1.3092649169266224E-2</v>
      </c>
      <c r="E7" s="2" t="s">
        <v>319</v>
      </c>
      <c r="F7" s="2">
        <v>3.6128642968833447E-3</v>
      </c>
      <c r="G7" s="2"/>
      <c r="H7" s="2"/>
      <c r="I7" s="2"/>
      <c r="J7" s="2"/>
      <c r="K7" s="2"/>
      <c r="L7" s="2"/>
    </row>
    <row r="8" spans="1:14" x14ac:dyDescent="0.2">
      <c r="A8" s="2"/>
      <c r="B8" s="2"/>
      <c r="C8" s="2"/>
      <c r="D8" s="2"/>
      <c r="E8" s="2" t="s">
        <v>320</v>
      </c>
      <c r="F8" s="2">
        <v>3.7935650907456875E-3</v>
      </c>
      <c r="G8" s="2"/>
      <c r="H8" s="2"/>
      <c r="I8" s="2"/>
      <c r="J8" s="2"/>
      <c r="K8" s="2"/>
      <c r="L8" s="2"/>
    </row>
    <row r="9" spans="1:14" x14ac:dyDescent="0.2">
      <c r="A9" s="2"/>
      <c r="B9" s="2"/>
      <c r="C9" s="2"/>
      <c r="D9" s="2"/>
      <c r="E9" s="2" t="s">
        <v>321</v>
      </c>
      <c r="F9" s="2">
        <v>3.9351861923933029E-3</v>
      </c>
      <c r="G9" s="2"/>
      <c r="H9" s="2"/>
      <c r="I9" s="2"/>
      <c r="J9" s="2"/>
      <c r="K9" s="2"/>
      <c r="L9" s="2"/>
    </row>
    <row r="10" spans="1:14" x14ac:dyDescent="0.2">
      <c r="A10" s="2"/>
      <c r="B10" s="2"/>
      <c r="C10" s="2"/>
      <c r="D10" s="2"/>
      <c r="E10" s="2" t="s">
        <v>322</v>
      </c>
      <c r="F10" s="2">
        <v>1.0795528069138527E-2</v>
      </c>
      <c r="G10" s="2"/>
      <c r="H10" s="2"/>
      <c r="I10" s="2"/>
      <c r="J10" s="2"/>
      <c r="K10" s="2"/>
      <c r="L10" s="2"/>
    </row>
    <row r="11" spans="1:14" x14ac:dyDescent="0.2">
      <c r="A11" s="2"/>
      <c r="B11" s="2"/>
      <c r="C11" s="2"/>
      <c r="D11" s="2"/>
      <c r="E11" s="2" t="s">
        <v>323</v>
      </c>
      <c r="F11" s="2">
        <v>1.6428034286946058E-3</v>
      </c>
      <c r="G11" s="2"/>
      <c r="H11" s="2"/>
      <c r="I11" s="2"/>
      <c r="J11" s="2"/>
      <c r="K11" s="2"/>
      <c r="L11" s="2"/>
    </row>
    <row r="12" spans="1:14" x14ac:dyDescent="0.2">
      <c r="A12" s="2"/>
      <c r="B12" s="2"/>
      <c r="C12" s="2"/>
      <c r="D12" s="2"/>
      <c r="E12" s="2" t="s">
        <v>324</v>
      </c>
      <c r="F12" s="2">
        <v>1.4332853257656097E-2</v>
      </c>
      <c r="G12" s="2"/>
      <c r="H12" s="2"/>
      <c r="I12" s="2"/>
      <c r="J12" s="2"/>
      <c r="K12" s="2"/>
      <c r="L12" s="2"/>
    </row>
    <row r="13" spans="1:14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4" x14ac:dyDescent="0.2">
      <c r="A14" s="2"/>
      <c r="B14" s="2">
        <f>SUM(B1:B12)/(1-N1)</f>
        <v>6.3872613505196726E-2</v>
      </c>
      <c r="C14" s="2"/>
      <c r="D14" s="2">
        <f>SUM(D1:D12)/(1-$N$1)</f>
        <v>0.16722855097730452</v>
      </c>
      <c r="E14" s="2"/>
      <c r="F14" s="2">
        <f t="shared" ref="F14:L14" si="0">SUM(F1:F12)/(1-$N$1)</f>
        <v>0.41818186453978456</v>
      </c>
      <c r="G14" s="2"/>
      <c r="H14" s="2">
        <f t="shared" si="0"/>
        <v>0.23083145752824757</v>
      </c>
      <c r="I14" s="2"/>
      <c r="J14" s="2">
        <f t="shared" si="0"/>
        <v>8.6820758518438915E-2</v>
      </c>
      <c r="K14" s="2"/>
      <c r="L14" s="2">
        <f t="shared" si="0"/>
        <v>3.3064774143513442E-2</v>
      </c>
    </row>
    <row r="17" spans="1:12" x14ac:dyDescent="0.2">
      <c r="A17" s="59" t="s">
        <v>115</v>
      </c>
      <c r="B17" s="59"/>
      <c r="C17" s="59" t="s">
        <v>116</v>
      </c>
      <c r="D17" s="59"/>
      <c r="E17" s="59" t="s">
        <v>148</v>
      </c>
      <c r="F17" s="59"/>
      <c r="G17" s="59" t="s">
        <v>126</v>
      </c>
      <c r="H17" s="59"/>
      <c r="I17" s="59" t="s">
        <v>150</v>
      </c>
      <c r="J17" s="59"/>
      <c r="K17" s="59" t="s">
        <v>334</v>
      </c>
      <c r="L17" s="59"/>
    </row>
    <row r="18" spans="1:12" x14ac:dyDescent="0.2">
      <c r="A18" s="2" t="s">
        <v>302</v>
      </c>
      <c r="B18" s="2">
        <f>B2/(1-$N$1)</f>
        <v>1.3318242834556559E-2</v>
      </c>
      <c r="C18" s="2" t="s">
        <v>308</v>
      </c>
      <c r="D18" s="2">
        <f>D2/(1-$N$1)</f>
        <v>2.182726148077201E-2</v>
      </c>
      <c r="E18" s="2" t="s">
        <v>314</v>
      </c>
      <c r="F18" s="2">
        <f>F2/(1-$N$1)</f>
        <v>5.9957428618100106E-2</v>
      </c>
      <c r="G18" s="2" t="s">
        <v>325</v>
      </c>
      <c r="H18" s="2">
        <f>H2/(1-$N$1)</f>
        <v>6.1600826723342205E-4</v>
      </c>
      <c r="I18" s="2" t="s">
        <v>329</v>
      </c>
      <c r="J18" s="2">
        <f>J2/(1-$N$1)</f>
        <v>1.2495339134127606E-4</v>
      </c>
      <c r="K18" s="2" t="s">
        <v>332</v>
      </c>
      <c r="L18" s="2">
        <f>L2/(1-$N$1)</f>
        <v>2.8146856523011451E-2</v>
      </c>
    </row>
    <row r="19" spans="1:12" x14ac:dyDescent="0.2">
      <c r="A19" s="2" t="s">
        <v>303</v>
      </c>
      <c r="B19" s="2">
        <f t="shared" ref="B19:B23" si="1">B3/(1-$N$1)</f>
        <v>8.7940095071536908E-3</v>
      </c>
      <c r="C19" s="2" t="s">
        <v>309</v>
      </c>
      <c r="D19" s="2">
        <f t="shared" ref="D19:D23" si="2">D3/(1-$N$1)</f>
        <v>5.518501255830535E-4</v>
      </c>
      <c r="E19" s="2" t="s">
        <v>315</v>
      </c>
      <c r="F19" s="2">
        <f t="shared" ref="F19:F28" si="3">F3/(1-$N$1)</f>
        <v>3.5215265433289004E-2</v>
      </c>
      <c r="G19" s="2" t="s">
        <v>326</v>
      </c>
      <c r="H19" s="2">
        <f t="shared" ref="H19:H21" si="4">H3/(1-$N$1)</f>
        <v>5.9899493741585499E-2</v>
      </c>
      <c r="I19" s="2" t="s">
        <v>330</v>
      </c>
      <c r="J19" s="2">
        <f t="shared" ref="J19:J20" si="5">J3/(1-$N$1)</f>
        <v>8.6460633198178927E-2</v>
      </c>
      <c r="K19" s="2" t="s">
        <v>333</v>
      </c>
      <c r="L19" s="2">
        <f>L3/(1-$N$1)</f>
        <v>4.9179176205019883E-3</v>
      </c>
    </row>
    <row r="20" spans="1:12" x14ac:dyDescent="0.2">
      <c r="A20" s="2" t="s">
        <v>304</v>
      </c>
      <c r="B20" s="2">
        <f t="shared" si="1"/>
        <v>2.5441010617178257E-3</v>
      </c>
      <c r="C20" s="2" t="s">
        <v>310</v>
      </c>
      <c r="D20" s="2">
        <f t="shared" si="2"/>
        <v>1.9354903666713451E-2</v>
      </c>
      <c r="E20" s="2" t="s">
        <v>316</v>
      </c>
      <c r="F20" s="2">
        <f t="shared" si="3"/>
        <v>6.5604609946896653E-2</v>
      </c>
      <c r="G20" s="2" t="s">
        <v>327</v>
      </c>
      <c r="H20" s="2">
        <f t="shared" si="4"/>
        <v>3.8960000140951445E-3</v>
      </c>
      <c r="I20" s="2" t="s">
        <v>331</v>
      </c>
      <c r="J20" s="2">
        <f t="shared" si="5"/>
        <v>2.3517192891871845E-4</v>
      </c>
      <c r="K20" s="2"/>
      <c r="L20" s="2"/>
    </row>
    <row r="21" spans="1:12" x14ac:dyDescent="0.2">
      <c r="A21" s="2" t="s">
        <v>305</v>
      </c>
      <c r="B21" s="2">
        <f t="shared" si="1"/>
        <v>1.2318608052100423E-2</v>
      </c>
      <c r="C21" s="2" t="s">
        <v>311</v>
      </c>
      <c r="D21" s="2">
        <f t="shared" si="2"/>
        <v>2.2779414309697325E-2</v>
      </c>
      <c r="E21" s="2" t="s">
        <v>317</v>
      </c>
      <c r="F21" s="2">
        <f t="shared" si="3"/>
        <v>2.3136157733439439E-2</v>
      </c>
      <c r="G21" s="2" t="s">
        <v>328</v>
      </c>
      <c r="H21" s="2">
        <f t="shared" si="4"/>
        <v>0.16641995550533351</v>
      </c>
      <c r="I21" s="2"/>
      <c r="J21" s="2"/>
      <c r="K21" s="2"/>
      <c r="L21" s="2"/>
    </row>
    <row r="22" spans="1:12" x14ac:dyDescent="0.2">
      <c r="A22" s="2" t="s">
        <v>307</v>
      </c>
      <c r="B22" s="2">
        <f t="shared" si="1"/>
        <v>1.7887622675663826E-3</v>
      </c>
      <c r="C22" s="2" t="s">
        <v>312</v>
      </c>
      <c r="D22" s="2">
        <f t="shared" si="2"/>
        <v>2.7884568665582435E-2</v>
      </c>
      <c r="E22" s="2" t="s">
        <v>318</v>
      </c>
      <c r="F22" s="2">
        <f t="shared" si="3"/>
        <v>1.6436100247819042E-2</v>
      </c>
      <c r="G22" s="2"/>
      <c r="H22" s="2"/>
      <c r="I22" s="2"/>
      <c r="J22" s="2"/>
      <c r="K22" s="2"/>
      <c r="L22" s="2"/>
    </row>
    <row r="23" spans="1:12" x14ac:dyDescent="0.2">
      <c r="A23" s="2" t="s">
        <v>306</v>
      </c>
      <c r="B23" s="2">
        <f t="shared" si="1"/>
        <v>2.510888978210184E-2</v>
      </c>
      <c r="C23" s="2" t="s">
        <v>313</v>
      </c>
      <c r="D23" s="2">
        <f t="shared" si="2"/>
        <v>7.4830552728956251E-2</v>
      </c>
      <c r="E23" s="2" t="s">
        <v>319</v>
      </c>
      <c r="F23" s="2">
        <f t="shared" si="3"/>
        <v>2.0649192441902456E-2</v>
      </c>
      <c r="G23" s="2"/>
      <c r="H23" s="2"/>
      <c r="I23" s="2"/>
      <c r="J23" s="2"/>
      <c r="K23" s="2"/>
      <c r="L23" s="2"/>
    </row>
    <row r="24" spans="1:12" x14ac:dyDescent="0.2">
      <c r="A24" s="2"/>
      <c r="B24" s="2"/>
      <c r="C24" s="2"/>
      <c r="D24" s="2"/>
      <c r="E24" s="2" t="s">
        <v>320</v>
      </c>
      <c r="F24" s="2">
        <f t="shared" si="3"/>
        <v>2.1681981154749185E-2</v>
      </c>
      <c r="G24" s="2"/>
      <c r="H24" s="2"/>
      <c r="I24" s="2"/>
      <c r="J24" s="2"/>
      <c r="K24" s="2"/>
      <c r="L24" s="2"/>
    </row>
    <row r="25" spans="1:12" x14ac:dyDescent="0.2">
      <c r="A25" s="2"/>
      <c r="B25" s="2"/>
      <c r="C25" s="2"/>
      <c r="D25" s="2"/>
      <c r="E25" s="2" t="s">
        <v>321</v>
      </c>
      <c r="F25" s="2">
        <f t="shared" si="3"/>
        <v>2.249141133021372E-2</v>
      </c>
      <c r="G25" s="2"/>
      <c r="H25" s="2"/>
      <c r="I25" s="2"/>
      <c r="J25" s="2"/>
      <c r="K25" s="2"/>
      <c r="L25" s="2"/>
    </row>
    <row r="26" spans="1:12" x14ac:dyDescent="0.2">
      <c r="A26" s="2"/>
      <c r="B26" s="2"/>
      <c r="C26" s="2"/>
      <c r="D26" s="2"/>
      <c r="E26" s="2" t="s">
        <v>322</v>
      </c>
      <c r="F26" s="2">
        <f t="shared" si="3"/>
        <v>6.170144192902656E-2</v>
      </c>
      <c r="G26" s="2"/>
      <c r="H26" s="2"/>
      <c r="I26" s="2"/>
      <c r="J26" s="2"/>
      <c r="K26" s="2"/>
      <c r="L26" s="2"/>
    </row>
    <row r="27" spans="1:12" x14ac:dyDescent="0.2">
      <c r="A27" s="2"/>
      <c r="B27" s="2"/>
      <c r="C27" s="2"/>
      <c r="D27" s="2"/>
      <c r="E27" s="2" t="s">
        <v>323</v>
      </c>
      <c r="F27" s="2">
        <f t="shared" si="3"/>
        <v>9.3893823171259331E-3</v>
      </c>
      <c r="G27" s="2"/>
      <c r="H27" s="2"/>
      <c r="I27" s="2"/>
      <c r="J27" s="2"/>
      <c r="K27" s="2"/>
      <c r="L27" s="2"/>
    </row>
    <row r="28" spans="1:12" x14ac:dyDescent="0.2">
      <c r="A28" s="2"/>
      <c r="B28" s="2"/>
      <c r="C28" s="2"/>
      <c r="D28" s="2"/>
      <c r="E28" s="2" t="s">
        <v>324</v>
      </c>
      <c r="F28" s="2">
        <f t="shared" si="3"/>
        <v>8.1918893387222497E-2</v>
      </c>
      <c r="G28" s="2"/>
      <c r="H28" s="2"/>
      <c r="I28" s="2"/>
      <c r="J28" s="2"/>
      <c r="K28" s="2"/>
      <c r="L28" s="2"/>
    </row>
    <row r="29" spans="1:12" x14ac:dyDescent="0.2">
      <c r="B29">
        <f>SUM(B18:B28)</f>
        <v>6.3872613505196726E-2</v>
      </c>
      <c r="D29">
        <f>SUM(D18:D28)</f>
        <v>0.16722855097730452</v>
      </c>
      <c r="F29">
        <f>SUM(F18:F28)</f>
        <v>0.41818186453978456</v>
      </c>
      <c r="H29">
        <f>SUM(H18:H28)</f>
        <v>0.23083145752824757</v>
      </c>
      <c r="J29">
        <f>SUM(J18:J28)</f>
        <v>8.6820758518438915E-2</v>
      </c>
      <c r="L29">
        <f>SUM(L18:L28)</f>
        <v>3.3064774143513442E-2</v>
      </c>
    </row>
    <row r="34" spans="1:22" x14ac:dyDescent="0.2">
      <c r="B34">
        <f>B14</f>
        <v>6.3872613505196726E-2</v>
      </c>
      <c r="C34">
        <f>D14</f>
        <v>0.16722855097730452</v>
      </c>
      <c r="D34">
        <f>F14</f>
        <v>0.41818186453978456</v>
      </c>
      <c r="E34">
        <f>H14</f>
        <v>0.23083145752824757</v>
      </c>
      <c r="F34">
        <f>J14</f>
        <v>8.6820758518438915E-2</v>
      </c>
      <c r="G34">
        <f>L19</f>
        <v>4.9179176205019883E-3</v>
      </c>
      <c r="H34">
        <f>L18</f>
        <v>2.8146856523011451E-2</v>
      </c>
    </row>
    <row r="35" spans="1:22" x14ac:dyDescent="0.2">
      <c r="O35" s="2" t="s">
        <v>348</v>
      </c>
      <c r="P35" s="2" t="s">
        <v>115</v>
      </c>
      <c r="Q35" s="2" t="s">
        <v>116</v>
      </c>
      <c r="R35" s="2" t="s">
        <v>111</v>
      </c>
      <c r="S35" s="2" t="s">
        <v>126</v>
      </c>
      <c r="T35" s="2" t="s">
        <v>125</v>
      </c>
      <c r="U35" s="2" t="s">
        <v>346</v>
      </c>
      <c r="V35" s="2" t="s">
        <v>347</v>
      </c>
    </row>
    <row r="36" spans="1:22" x14ac:dyDescent="0.2">
      <c r="A36" s="2" t="s">
        <v>352</v>
      </c>
      <c r="B36" s="2" t="s">
        <v>115</v>
      </c>
      <c r="C36" s="2" t="s">
        <v>116</v>
      </c>
      <c r="D36" s="2" t="s">
        <v>111</v>
      </c>
      <c r="E36" s="2" t="s">
        <v>126</v>
      </c>
      <c r="F36" s="2" t="s">
        <v>125</v>
      </c>
      <c r="G36" s="2" t="s">
        <v>346</v>
      </c>
      <c r="H36" s="2" t="s">
        <v>347</v>
      </c>
      <c r="O36" s="2">
        <v>0</v>
      </c>
      <c r="P36" s="2">
        <v>7.9871997498629388E-2</v>
      </c>
      <c r="Q36" s="2">
        <v>0.18390583389279958</v>
      </c>
      <c r="R36" s="2">
        <v>0.44018266488629892</v>
      </c>
      <c r="S36" s="2">
        <v>0.18984263164903431</v>
      </c>
      <c r="T36" s="2">
        <v>7.5240129222925098E-2</v>
      </c>
      <c r="U36" s="2">
        <v>4.5498963551367363E-3</v>
      </c>
      <c r="V36" s="2">
        <v>2.6406739057975991E-2</v>
      </c>
    </row>
    <row r="37" spans="1:22" x14ac:dyDescent="0.2">
      <c r="A37" s="2">
        <v>0</v>
      </c>
      <c r="B37" s="2"/>
      <c r="C37" s="2"/>
      <c r="D37" s="2"/>
      <c r="E37" s="2"/>
      <c r="F37" s="2"/>
      <c r="G37" s="2"/>
      <c r="H37" s="2"/>
      <c r="O37" s="2">
        <v>10</v>
      </c>
      <c r="P37" s="2">
        <v>8.2743214028962203E-2</v>
      </c>
      <c r="Q37" s="2">
        <v>0.19055159197103344</v>
      </c>
      <c r="R37" s="2">
        <v>0.43878176988645956</v>
      </c>
      <c r="S37" s="2">
        <v>0.18429520555442924</v>
      </c>
      <c r="T37" s="2">
        <v>7.3303514038246712E-2</v>
      </c>
      <c r="U37" s="2">
        <v>4.4531200943218182E-3</v>
      </c>
      <c r="V37" s="2">
        <v>2.5871862410683129E-2</v>
      </c>
    </row>
    <row r="38" spans="1:22" x14ac:dyDescent="0.2">
      <c r="A38" s="2">
        <v>10</v>
      </c>
      <c r="B38" s="2"/>
      <c r="C38" s="2"/>
      <c r="D38" s="2"/>
      <c r="E38" s="2"/>
      <c r="F38" s="2"/>
      <c r="G38" s="2"/>
      <c r="H38" s="2"/>
      <c r="O38" s="2">
        <v>20</v>
      </c>
      <c r="P38" s="2">
        <v>8.5868839161162655E-2</v>
      </c>
      <c r="Q38" s="2">
        <v>0.19800680554410327</v>
      </c>
      <c r="R38" s="2">
        <v>0.43685945211124788</v>
      </c>
      <c r="S38" s="2">
        <v>0.17838939329045514</v>
      </c>
      <c r="T38" s="2">
        <v>7.1222909690900463E-2</v>
      </c>
      <c r="U38" s="2">
        <v>4.3498995113343273E-3</v>
      </c>
      <c r="V38" s="2">
        <v>2.5302542595730681E-2</v>
      </c>
    </row>
    <row r="39" spans="1:22" x14ac:dyDescent="0.2">
      <c r="A39" s="2">
        <v>20</v>
      </c>
      <c r="B39" s="2"/>
      <c r="C39" s="2"/>
      <c r="D39" s="2"/>
      <c r="E39" s="2"/>
      <c r="F39" s="2"/>
      <c r="G39" s="2"/>
      <c r="H39" s="2"/>
      <c r="O39" s="2">
        <v>30</v>
      </c>
      <c r="P39" s="2">
        <v>8.9266873002628172E-2</v>
      </c>
      <c r="Q39" s="2">
        <v>0.20645539840832733</v>
      </c>
      <c r="R39" s="2">
        <v>0.43427719274382909</v>
      </c>
      <c r="S39" s="2">
        <v>0.17208671794046396</v>
      </c>
      <c r="T39" s="2">
        <v>6.8979846404194065E-2</v>
      </c>
      <c r="U39" s="2">
        <v>4.2393736504158551E-3</v>
      </c>
      <c r="V39" s="2">
        <v>2.469425787528521E-2</v>
      </c>
    </row>
    <row r="40" spans="1:22" x14ac:dyDescent="0.2">
      <c r="A40" s="2">
        <v>30</v>
      </c>
      <c r="B40" s="2"/>
      <c r="C40" s="2"/>
      <c r="D40" s="2"/>
      <c r="E40" s="2"/>
      <c r="F40" s="2"/>
      <c r="G40" s="2"/>
      <c r="H40" s="2"/>
      <c r="O40" s="2">
        <v>40</v>
      </c>
      <c r="P40" s="2">
        <v>9.2990188494187706E-2</v>
      </c>
      <c r="Q40" s="2">
        <v>0.2161235782746703</v>
      </c>
      <c r="R40" s="2">
        <v>0.43084753813008619</v>
      </c>
      <c r="S40" s="2">
        <v>0.16532891253293142</v>
      </c>
      <c r="T40" s="2">
        <v>6.6547744499766734E-2</v>
      </c>
      <c r="U40" s="2">
        <v>4.120464549829549E-3</v>
      </c>
      <c r="V40" s="2">
        <v>2.4041294262645011E-2</v>
      </c>
    </row>
    <row r="41" spans="1:22" x14ac:dyDescent="0.2">
      <c r="A41" s="2">
        <v>40</v>
      </c>
      <c r="B41" s="2"/>
      <c r="C41" s="2"/>
      <c r="D41" s="2"/>
      <c r="E41" s="2"/>
      <c r="F41" s="2"/>
      <c r="G41" s="2"/>
      <c r="H41" s="2"/>
      <c r="O41" s="2">
        <v>50</v>
      </c>
      <c r="P41" s="2">
        <v>9.7080766482220082E-2</v>
      </c>
      <c r="Q41" s="2">
        <v>0.22648472930863411</v>
      </c>
      <c r="R41" s="2">
        <v>0.42678703617097224</v>
      </c>
      <c r="S41" s="2">
        <v>0.15829381885310403</v>
      </c>
      <c r="T41" s="2">
        <v>6.3993195548685489E-2</v>
      </c>
      <c r="U41" s="2">
        <v>3.9970747922534215E-3</v>
      </c>
      <c r="V41" s="2">
        <v>2.3363437951768363E-2</v>
      </c>
    </row>
    <row r="42" spans="1:22" x14ac:dyDescent="0.2">
      <c r="A42" s="2">
        <v>50</v>
      </c>
      <c r="B42" s="2"/>
      <c r="C42" s="2"/>
      <c r="D42" s="2"/>
      <c r="E42" s="2"/>
      <c r="F42" s="2"/>
      <c r="G42" s="2"/>
      <c r="H42" s="2"/>
      <c r="O42" s="2">
        <v>60</v>
      </c>
      <c r="P42" s="2">
        <v>0.10177522013263977</v>
      </c>
      <c r="Q42" s="2">
        <v>0.23688419758798979</v>
      </c>
      <c r="R42" s="2">
        <v>0.4224976955839051</v>
      </c>
      <c r="S42" s="2">
        <v>0.15097533276319475</v>
      </c>
      <c r="T42" s="2">
        <v>6.1337552246456317E-2</v>
      </c>
      <c r="U42" s="2">
        <v>3.8697500852440175E-3</v>
      </c>
      <c r="V42" s="2">
        <v>2.2660122907991985E-2</v>
      </c>
    </row>
    <row r="43" spans="1:22" x14ac:dyDescent="0.2">
      <c r="A43" s="2">
        <v>60</v>
      </c>
      <c r="B43" s="2"/>
      <c r="C43" s="2"/>
      <c r="D43" s="2"/>
      <c r="E43" s="2"/>
      <c r="F43" s="2"/>
      <c r="G43" s="2"/>
      <c r="H43" s="2"/>
      <c r="O43" s="2">
        <v>70</v>
      </c>
      <c r="P43" s="2">
        <v>0.10711579410145008</v>
      </c>
      <c r="Q43" s="2">
        <v>0.24715320386527648</v>
      </c>
      <c r="R43" s="2">
        <v>0.41794823373188555</v>
      </c>
      <c r="S43" s="2">
        <v>0.14348508518204348</v>
      </c>
      <c r="T43" s="2">
        <v>5.8611488669524828E-2</v>
      </c>
      <c r="U43" s="2">
        <v>3.7409059317304919E-3</v>
      </c>
      <c r="V43" s="2">
        <v>2.1945171513881888E-2</v>
      </c>
    </row>
    <row r="44" spans="1:22" x14ac:dyDescent="0.2">
      <c r="A44" s="2">
        <v>70</v>
      </c>
      <c r="B44" s="2"/>
      <c r="C44" s="2"/>
      <c r="D44" s="2"/>
      <c r="E44" s="2"/>
      <c r="F44" s="2"/>
      <c r="G44" s="2"/>
      <c r="H44" s="2"/>
      <c r="O44" s="2">
        <v>80</v>
      </c>
      <c r="P44" s="2">
        <v>0.11302671501664889</v>
      </c>
      <c r="Q44" s="2">
        <v>0.25594972567326985</v>
      </c>
      <c r="R44" s="2">
        <v>0.41375357987813655</v>
      </c>
      <c r="S44" s="2">
        <v>0.13636274467525991</v>
      </c>
      <c r="T44" s="2">
        <v>5.6005850153204376E-2</v>
      </c>
      <c r="U44" s="2">
        <v>3.6217774571000536E-3</v>
      </c>
      <c r="V44" s="2">
        <v>2.1279951127517953E-2</v>
      </c>
    </row>
    <row r="45" spans="1:22" x14ac:dyDescent="0.2">
      <c r="A45" s="2">
        <v>80</v>
      </c>
      <c r="B45" s="2"/>
      <c r="C45" s="2"/>
      <c r="D45" s="2"/>
      <c r="E45" s="2"/>
      <c r="F45" s="2"/>
      <c r="G45" s="2"/>
      <c r="H45" s="2"/>
      <c r="O45" s="2">
        <v>90</v>
      </c>
      <c r="P45" s="2">
        <v>0.12094181165370377</v>
      </c>
      <c r="Q45" s="2">
        <v>0.27018543086257168</v>
      </c>
      <c r="R45" s="2">
        <v>0.40608383668421466</v>
      </c>
      <c r="S45" s="2">
        <v>0.12659250491034352</v>
      </c>
      <c r="T45" s="2">
        <v>5.2425866829513335E-2</v>
      </c>
      <c r="U45" s="2">
        <v>3.4499483203982214E-3</v>
      </c>
      <c r="V45" s="2">
        <v>2.0320705232360948E-2</v>
      </c>
    </row>
    <row r="46" spans="1:22" x14ac:dyDescent="0.2">
      <c r="A46" s="2">
        <v>90</v>
      </c>
      <c r="B46" s="2"/>
      <c r="C46" s="2"/>
      <c r="D46" s="2"/>
      <c r="E46" s="2"/>
      <c r="F46" s="2"/>
      <c r="G46" s="2"/>
      <c r="H46" s="2"/>
      <c r="O46" s="2">
        <v>100</v>
      </c>
      <c r="P46" s="2">
        <v>0.13083772407141703</v>
      </c>
      <c r="Q46" s="2">
        <v>0.28622595330683959</v>
      </c>
      <c r="R46" s="2">
        <v>0.39631385072253084</v>
      </c>
      <c r="S46" s="2">
        <v>0.11571334465710928</v>
      </c>
      <c r="T46" s="2">
        <v>4.8415195358772277E-2</v>
      </c>
      <c r="U46" s="2">
        <v>3.2568760938090392E-3</v>
      </c>
      <c r="V46" s="2">
        <v>1.9237230715666159E-2</v>
      </c>
    </row>
    <row r="47" spans="1:22" x14ac:dyDescent="0.2">
      <c r="A47" s="2">
        <v>100</v>
      </c>
      <c r="B47" s="2"/>
      <c r="C47" s="2"/>
      <c r="D47" s="2"/>
      <c r="E47" s="2"/>
      <c r="F47" s="2"/>
      <c r="G47" s="2"/>
      <c r="H47" s="2"/>
    </row>
    <row r="49" spans="15:22" x14ac:dyDescent="0.2">
      <c r="O49" s="2" t="s">
        <v>349</v>
      </c>
      <c r="P49" s="2" t="s">
        <v>115</v>
      </c>
      <c r="Q49" s="2" t="s">
        <v>116</v>
      </c>
      <c r="R49" s="2" t="s">
        <v>111</v>
      </c>
      <c r="S49" s="2" t="s">
        <v>126</v>
      </c>
      <c r="T49" s="2" t="s">
        <v>125</v>
      </c>
      <c r="U49" s="2" t="s">
        <v>346</v>
      </c>
      <c r="V49" s="2" t="s">
        <v>347</v>
      </c>
    </row>
    <row r="50" spans="15:22" x14ac:dyDescent="0.2">
      <c r="O50" s="2">
        <v>0</v>
      </c>
      <c r="P50" s="2">
        <v>4.7850616825629508E-2</v>
      </c>
      <c r="Q50" s="2">
        <v>0.1494520627887912</v>
      </c>
      <c r="R50" s="2">
        <v>0.40841450483148151</v>
      </c>
      <c r="S50" s="2">
        <v>0.26060920434449891</v>
      </c>
      <c r="T50" s="2">
        <v>9.7608425570260629E-2</v>
      </c>
      <c r="U50" s="2">
        <v>5.3825061039486912E-3</v>
      </c>
      <c r="V50" s="2">
        <v>3.0682819594469907E-2</v>
      </c>
    </row>
    <row r="51" spans="15:22" x14ac:dyDescent="0.2">
      <c r="O51" s="2">
        <v>10</v>
      </c>
      <c r="P51" s="2">
        <v>4.9549811091164783E-2</v>
      </c>
      <c r="Q51" s="2">
        <v>0.15507402547192978</v>
      </c>
      <c r="R51" s="2">
        <v>0.40897854388276977</v>
      </c>
      <c r="S51" s="2">
        <v>0.25515114563821345</v>
      </c>
      <c r="T51" s="2">
        <v>9.5805656245826057E-2</v>
      </c>
      <c r="U51" s="2">
        <v>5.2851200766895695E-3</v>
      </c>
      <c r="V51" s="2">
        <v>3.015578666608059E-2</v>
      </c>
    </row>
    <row r="52" spans="15:22" x14ac:dyDescent="0.2">
      <c r="O52" s="2">
        <v>20</v>
      </c>
      <c r="P52" s="2">
        <v>5.1377424913461187E-2</v>
      </c>
      <c r="Q52" s="2">
        <v>0.16139417899749089</v>
      </c>
      <c r="R52" s="2">
        <v>0.40924401320182074</v>
      </c>
      <c r="S52" s="2">
        <v>0.24934020445760305</v>
      </c>
      <c r="T52" s="2">
        <v>9.3863971973623159E-2</v>
      </c>
      <c r="U52" s="2">
        <v>5.1817787050320255E-3</v>
      </c>
      <c r="V52" s="2">
        <v>2.9598676118290822E-2</v>
      </c>
    </row>
    <row r="53" spans="15:22" x14ac:dyDescent="0.2">
      <c r="O53" s="2">
        <v>30</v>
      </c>
      <c r="P53" s="2">
        <v>5.3357180710359768E-2</v>
      </c>
      <c r="Q53" s="2">
        <v>0.16850334522226965</v>
      </c>
      <c r="R53" s="2">
        <v>0.4091648417443926</v>
      </c>
      <c r="S53" s="2">
        <v>0.2431296518386982</v>
      </c>
      <c r="T53" s="2">
        <v>9.1765984921305582E-2</v>
      </c>
      <c r="U53" s="2">
        <v>5.071742309937453E-3</v>
      </c>
      <c r="V53" s="2">
        <v>2.9007407219380475E-2</v>
      </c>
    </row>
    <row r="54" spans="15:22" x14ac:dyDescent="0.2">
      <c r="O54" s="2">
        <v>40</v>
      </c>
      <c r="P54" s="2">
        <v>5.5488965503440124E-2</v>
      </c>
      <c r="Q54" s="2">
        <v>0.1766929751828602</v>
      </c>
      <c r="R54" s="2">
        <v>0.40857884487189566</v>
      </c>
      <c r="S54" s="2">
        <v>0.23643696884515303</v>
      </c>
      <c r="T54" s="2">
        <v>8.9475383995260893E-2</v>
      </c>
      <c r="U54" s="2">
        <v>4.9532954418626662E-3</v>
      </c>
      <c r="V54" s="2">
        <v>2.8373604745665828E-2</v>
      </c>
    </row>
    <row r="55" spans="15:22" x14ac:dyDescent="0.2">
      <c r="O55" s="2">
        <v>50</v>
      </c>
      <c r="P55" s="2">
        <v>5.7823620131127546E-2</v>
      </c>
      <c r="Q55" s="2">
        <v>0.18625165167300711</v>
      </c>
      <c r="R55" s="2">
        <v>0.40733785959692242</v>
      </c>
      <c r="S55" s="2">
        <v>0.22913389922473118</v>
      </c>
      <c r="T55" s="2">
        <v>8.694271761763761E-2</v>
      </c>
      <c r="U55" s="2">
        <v>4.824302031736798E-3</v>
      </c>
      <c r="V55" s="2">
        <v>2.7686126734124062E-2</v>
      </c>
    </row>
    <row r="56" spans="15:22" x14ac:dyDescent="0.2">
      <c r="O56" s="2">
        <v>60</v>
      </c>
      <c r="P56" s="2">
        <v>6.0384152843991408E-2</v>
      </c>
      <c r="Q56" s="2">
        <v>0.1976096836902658</v>
      </c>
      <c r="R56" s="2">
        <v>0.40519403374002561</v>
      </c>
      <c r="S56" s="2">
        <v>0.22108634697486362</v>
      </c>
      <c r="T56" s="2">
        <v>8.4111281632751597E-2</v>
      </c>
      <c r="U56" s="2">
        <v>4.6822985375198712E-3</v>
      </c>
      <c r="V56" s="2">
        <v>2.6932381550887563E-2</v>
      </c>
    </row>
    <row r="57" spans="15:22" x14ac:dyDescent="0.2">
      <c r="O57" s="2">
        <v>70</v>
      </c>
      <c r="P57" s="2">
        <v>6.3222851803177021E-2</v>
      </c>
      <c r="Q57" s="2">
        <v>0.21116954244526137</v>
      </c>
      <c r="R57" s="2">
        <v>0.40191840479925545</v>
      </c>
      <c r="S57" s="2">
        <v>0.21214466434550741</v>
      </c>
      <c r="T57" s="2">
        <v>8.092178802870359E-2</v>
      </c>
      <c r="U57" s="2">
        <v>4.5246418418590471E-3</v>
      </c>
      <c r="V57" s="2">
        <v>2.6097851076932254E-2</v>
      </c>
    </row>
    <row r="58" spans="15:22" x14ac:dyDescent="0.2">
      <c r="O58" s="2">
        <v>80</v>
      </c>
      <c r="P58" s="2">
        <v>6.6790174020268572E-2</v>
      </c>
      <c r="Q58" s="2">
        <v>0.22688893848220781</v>
      </c>
      <c r="R58" s="2">
        <v>0.39790346739538296</v>
      </c>
      <c r="S58" s="2">
        <v>0.201719675239381</v>
      </c>
      <c r="T58" s="2">
        <v>7.7231748794963209E-2</v>
      </c>
      <c r="U58" s="2">
        <v>4.3418258920688421E-3</v>
      </c>
      <c r="V58" s="2">
        <v>2.5123989454018072E-2</v>
      </c>
    </row>
    <row r="59" spans="15:22" x14ac:dyDescent="0.2">
      <c r="O59" s="2">
        <v>90</v>
      </c>
      <c r="P59" s="2">
        <v>7.1062110309847687E-2</v>
      </c>
      <c r="Q59" s="2">
        <v>0.24439532854461415</v>
      </c>
      <c r="R59" s="2">
        <v>0.39294854071363716</v>
      </c>
      <c r="S59" s="2">
        <v>0.19023765601932163</v>
      </c>
      <c r="T59" s="2">
        <v>7.3156735528625075E-2</v>
      </c>
      <c r="U59" s="2">
        <v>4.1423472613426101E-3</v>
      </c>
      <c r="V59" s="2">
        <v>2.4057099322856518E-2</v>
      </c>
    </row>
    <row r="60" spans="15:22" x14ac:dyDescent="0.2">
      <c r="O60" s="2">
        <v>100</v>
      </c>
      <c r="P60" s="2">
        <v>7.6079331197779196E-2</v>
      </c>
      <c r="Q60" s="2">
        <v>0.26178499761834784</v>
      </c>
      <c r="R60" s="2">
        <v>0.38770097565394085</v>
      </c>
      <c r="S60" s="2">
        <v>0.1785178339750236</v>
      </c>
      <c r="T60" s="2">
        <v>6.899249936687879E-2</v>
      </c>
      <c r="U60" s="2">
        <v>3.9425878406160733E-3</v>
      </c>
      <c r="V60" s="2">
        <v>2.298197509182753E-2</v>
      </c>
    </row>
    <row r="63" spans="15:22" x14ac:dyDescent="0.2">
      <c r="O63" s="2" t="s">
        <v>350</v>
      </c>
      <c r="P63" s="2" t="s">
        <v>115</v>
      </c>
      <c r="Q63" s="2" t="s">
        <v>116</v>
      </c>
      <c r="R63" s="2" t="s">
        <v>111</v>
      </c>
      <c r="S63" s="2" t="s">
        <v>126</v>
      </c>
      <c r="T63" s="2" t="s">
        <v>125</v>
      </c>
      <c r="U63" s="2" t="s">
        <v>346</v>
      </c>
      <c r="V63" s="2" t="s">
        <v>347</v>
      </c>
    </row>
    <row r="64" spans="15:22" x14ac:dyDescent="0.2">
      <c r="O64" s="2">
        <v>0</v>
      </c>
      <c r="P64" s="2">
        <v>3.3076225643386956E-2</v>
      </c>
      <c r="Q64" s="2">
        <v>0.12934330708686331</v>
      </c>
      <c r="R64" s="2">
        <v>0.37380989260814979</v>
      </c>
      <c r="S64" s="2">
        <v>0.31047861651210296</v>
      </c>
      <c r="T64" s="2">
        <v>0.11331811092632073</v>
      </c>
      <c r="U64" s="2">
        <v>6.0255909288743151E-3</v>
      </c>
      <c r="V64" s="2">
        <v>3.3948573367305737E-2</v>
      </c>
    </row>
    <row r="65" spans="15:22" x14ac:dyDescent="0.2">
      <c r="O65" s="2">
        <v>10</v>
      </c>
      <c r="P65" s="2">
        <v>3.4295136042799941E-2</v>
      </c>
      <c r="Q65" s="2">
        <v>0.13440553798869437</v>
      </c>
      <c r="R65" s="2">
        <v>0.37531654585181967</v>
      </c>
      <c r="S65" s="2">
        <v>0.30505922038836375</v>
      </c>
      <c r="T65" s="2">
        <v>0.11160582087511949</v>
      </c>
      <c r="U65" s="2">
        <v>5.9227329295457945E-3</v>
      </c>
      <c r="V65" s="2">
        <v>3.3394721649770705E-2</v>
      </c>
    </row>
    <row r="66" spans="15:22" x14ac:dyDescent="0.2">
      <c r="O66" s="2">
        <v>20</v>
      </c>
      <c r="P66" s="2">
        <v>3.5596453683145866E-2</v>
      </c>
      <c r="Q66" s="2">
        <v>0.14006799902162481</v>
      </c>
      <c r="R66" s="2">
        <v>0.37662289238059438</v>
      </c>
      <c r="S66" s="2">
        <v>0.29931759926522639</v>
      </c>
      <c r="T66" s="2">
        <v>0.10976547162542684</v>
      </c>
      <c r="U66" s="2">
        <v>5.8145946655478783E-3</v>
      </c>
      <c r="V66" s="2">
        <v>3.2815208682772698E-2</v>
      </c>
    </row>
    <row r="67" spans="15:22" x14ac:dyDescent="0.2">
      <c r="O67" s="2">
        <v>30</v>
      </c>
      <c r="P67" s="2">
        <v>3.6974371308511798E-2</v>
      </c>
      <c r="Q67" s="2">
        <v>0.14647433235307139</v>
      </c>
      <c r="R67" s="2">
        <v>0.37763193228878011</v>
      </c>
      <c r="S67" s="2">
        <v>0.29322981663688413</v>
      </c>
      <c r="T67" s="2">
        <v>0.10778056337196856</v>
      </c>
      <c r="U67" s="2">
        <v>5.7007282229651225E-3</v>
      </c>
      <c r="V67" s="2">
        <v>3.2208336300699719E-2</v>
      </c>
    </row>
    <row r="68" spans="15:22" x14ac:dyDescent="0.2">
      <c r="O68" s="2">
        <v>40</v>
      </c>
      <c r="P68" s="2">
        <v>3.9980276228716811E-2</v>
      </c>
      <c r="Q68" s="2">
        <v>0.16241988668813029</v>
      </c>
      <c r="R68" s="2">
        <v>0.37833379968526842</v>
      </c>
      <c r="S68" s="2">
        <v>0.279691834566272</v>
      </c>
      <c r="T68" s="2">
        <v>0.1032414168457518</v>
      </c>
      <c r="U68" s="2">
        <v>5.4496576819101196E-3</v>
      </c>
      <c r="V68" s="2">
        <v>3.0882976805586861E-2</v>
      </c>
    </row>
    <row r="69" spans="15:22" x14ac:dyDescent="0.2">
      <c r="O69" s="2">
        <v>50</v>
      </c>
      <c r="P69" s="2">
        <v>4.1635496756474065E-2</v>
      </c>
      <c r="Q69" s="2">
        <v>0.17263724715193826</v>
      </c>
      <c r="R69" s="2">
        <v>0.37771486143020522</v>
      </c>
      <c r="S69" s="2">
        <v>0.27198255063693089</v>
      </c>
      <c r="T69" s="2">
        <v>0.10058082191166459</v>
      </c>
      <c r="U69" s="2">
        <v>5.3077969753777734E-3</v>
      </c>
      <c r="V69" s="2">
        <v>3.01414170474666E-2</v>
      </c>
    </row>
    <row r="70" spans="15:22" x14ac:dyDescent="0.2">
      <c r="O70" s="2">
        <v>60</v>
      </c>
      <c r="P70" s="2">
        <v>4.3417549285676267E-2</v>
      </c>
      <c r="Q70" s="2">
        <v>0.18493866988995492</v>
      </c>
      <c r="R70" s="2">
        <v>0.37619498434087351</v>
      </c>
      <c r="S70" s="2">
        <v>0.26340636271755058</v>
      </c>
      <c r="T70" s="2">
        <v>9.7566295595163763E-2</v>
      </c>
      <c r="U70" s="2">
        <v>5.150789960310884E-3</v>
      </c>
      <c r="V70" s="2">
        <v>2.9325244144110967E-2</v>
      </c>
    </row>
    <row r="71" spans="15:22" x14ac:dyDescent="0.2">
      <c r="O71" s="2">
        <v>70</v>
      </c>
      <c r="P71" s="2">
        <v>4.5348490615263047E-2</v>
      </c>
      <c r="Q71" s="2">
        <v>0.20054195504700609</v>
      </c>
      <c r="R71" s="2">
        <v>0.37323620338105773</v>
      </c>
      <c r="S71" s="2">
        <v>0.25350085570649233</v>
      </c>
      <c r="T71" s="2">
        <v>9.4010536333237762E-2</v>
      </c>
      <c r="U71" s="2">
        <v>4.9701412791230207E-3</v>
      </c>
      <c r="V71" s="2">
        <v>2.8391663271316876E-2</v>
      </c>
    </row>
    <row r="72" spans="15:22" x14ac:dyDescent="0.2">
      <c r="O72" s="2">
        <v>80</v>
      </c>
      <c r="P72" s="2">
        <v>4.7805097759725544E-2</v>
      </c>
      <c r="Q72" s="2">
        <v>0.21941624488205086</v>
      </c>
      <c r="R72" s="2">
        <v>0.3693723127448123</v>
      </c>
      <c r="S72" s="2">
        <v>0.24160921097857332</v>
      </c>
      <c r="T72" s="2">
        <v>8.9766403893367208E-2</v>
      </c>
      <c r="U72" s="2">
        <v>4.7553490102953677E-3</v>
      </c>
      <c r="V72" s="2">
        <v>2.7275439698009912E-2</v>
      </c>
    </row>
    <row r="73" spans="15:22" x14ac:dyDescent="0.2">
      <c r="O73" s="2">
        <v>90</v>
      </c>
      <c r="P73" s="2">
        <v>4.7804619443100112E-2</v>
      </c>
      <c r="Q73" s="2">
        <v>0.21946927099687394</v>
      </c>
      <c r="R73" s="2">
        <v>0.36934843380308197</v>
      </c>
      <c r="S73" s="2">
        <v>0.24159047354639104</v>
      </c>
      <c r="T73" s="2">
        <v>8.9758572142384391E-2</v>
      </c>
      <c r="U73" s="2">
        <v>4.7549723547351281E-3</v>
      </c>
      <c r="V73" s="2">
        <v>2.7273604581489676E-2</v>
      </c>
    </row>
    <row r="74" spans="15:22" x14ac:dyDescent="0.2">
      <c r="O74" s="2">
        <v>100</v>
      </c>
      <c r="P74" s="2">
        <v>5.0708977760992271E-2</v>
      </c>
      <c r="Q74" s="2">
        <v>0.23758272743031522</v>
      </c>
      <c r="R74" s="2">
        <v>0.36579599105869226</v>
      </c>
      <c r="S74" s="2">
        <v>0.22966202605121958</v>
      </c>
      <c r="T74" s="2">
        <v>8.5537887690887215E-2</v>
      </c>
      <c r="U74" s="2">
        <v>4.5441053606368161E-3</v>
      </c>
      <c r="V74" s="2">
        <v>2.6168349007026616E-2</v>
      </c>
    </row>
    <row r="77" spans="15:22" x14ac:dyDescent="0.2">
      <c r="O77" s="2" t="s">
        <v>351</v>
      </c>
      <c r="P77" s="2" t="s">
        <v>115</v>
      </c>
      <c r="Q77" s="2" t="s">
        <v>116</v>
      </c>
      <c r="R77" s="2" t="s">
        <v>111</v>
      </c>
      <c r="S77" s="2" t="s">
        <v>126</v>
      </c>
      <c r="T77" s="2" t="s">
        <v>125</v>
      </c>
      <c r="U77" s="2" t="s">
        <v>346</v>
      </c>
      <c r="V77" s="2" t="s">
        <v>347</v>
      </c>
    </row>
    <row r="78" spans="15:22" x14ac:dyDescent="0.2">
      <c r="O78" s="2">
        <v>0</v>
      </c>
      <c r="P78" s="2">
        <v>2.4708155787410611E-2</v>
      </c>
      <c r="Q78" s="2">
        <v>0.11602692728943063</v>
      </c>
      <c r="R78" s="2">
        <v>0.34281611937677003</v>
      </c>
      <c r="S78" s="2">
        <v>0.34802867802183846</v>
      </c>
      <c r="T78" s="2">
        <v>0.12511061351273539</v>
      </c>
      <c r="U78" s="2">
        <v>6.5681915036383421E-3</v>
      </c>
      <c r="V78" s="2">
        <v>3.6741577649738517E-2</v>
      </c>
    </row>
    <row r="79" spans="15:22" x14ac:dyDescent="0.2">
      <c r="O79" s="2">
        <v>10</v>
      </c>
      <c r="P79" s="2">
        <v>2.5747295486218704E-2</v>
      </c>
      <c r="Q79" s="2">
        <v>0.12065707836882006</v>
      </c>
      <c r="R79" s="2">
        <v>0.34521925506011886</v>
      </c>
      <c r="S79" s="2">
        <v>0.34237887050906107</v>
      </c>
      <c r="T79" s="2">
        <v>0.12342657646740998</v>
      </c>
      <c r="U79" s="2">
        <v>6.4533107545002022E-3</v>
      </c>
      <c r="V79" s="2">
        <v>3.6117734593651751E-2</v>
      </c>
    </row>
    <row r="80" spans="15:22" x14ac:dyDescent="0.2">
      <c r="O80" s="2">
        <v>20</v>
      </c>
      <c r="P80" s="2">
        <v>2.6768883605652043E-2</v>
      </c>
      <c r="Q80" s="2">
        <v>0.12590351666740923</v>
      </c>
      <c r="R80" s="2">
        <v>0.34713334134546431</v>
      </c>
      <c r="S80" s="2">
        <v>0.33668283575146857</v>
      </c>
      <c r="T80" s="2">
        <v>0.12166689738678102</v>
      </c>
      <c r="U80" s="2">
        <v>6.3390793397960369E-3</v>
      </c>
      <c r="V80" s="2">
        <v>3.5505292597906073E-2</v>
      </c>
    </row>
    <row r="81" spans="15:22" x14ac:dyDescent="0.2">
      <c r="O81" s="2">
        <v>30</v>
      </c>
      <c r="P81" s="2">
        <v>2.7769800724225902E-2</v>
      </c>
      <c r="Q81" s="2">
        <v>0.131889203862633</v>
      </c>
      <c r="R81" s="2">
        <v>0.34851272811584633</v>
      </c>
      <c r="S81" s="2">
        <v>0.33089485313682554</v>
      </c>
      <c r="T81" s="2">
        <v>0.11981074624199077</v>
      </c>
      <c r="U81" s="2">
        <v>6.2243855648398804E-3</v>
      </c>
      <c r="V81" s="2">
        <v>3.4898096625407736E-2</v>
      </c>
    </row>
    <row r="82" spans="15:22" x14ac:dyDescent="0.2">
      <c r="O82" s="2">
        <v>40</v>
      </c>
      <c r="P82" s="2">
        <v>2.87359153828604E-2</v>
      </c>
      <c r="Q82" s="2">
        <v>0.13878558864757629</v>
      </c>
      <c r="R82" s="2">
        <v>0.34928734748737694</v>
      </c>
      <c r="S82" s="2">
        <v>0.32495952987512083</v>
      </c>
      <c r="T82" s="2">
        <v>0.11783483550023763</v>
      </c>
      <c r="U82" s="2">
        <v>6.1078151265997584E-3</v>
      </c>
      <c r="V82" s="2">
        <v>3.4288620223967885E-2</v>
      </c>
    </row>
    <row r="83" spans="15:22" x14ac:dyDescent="0.2">
      <c r="O83" s="2">
        <v>50</v>
      </c>
      <c r="P83" s="2">
        <v>2.9793652594977439E-2</v>
      </c>
      <c r="Q83" s="2">
        <v>0.14679408809507524</v>
      </c>
      <c r="R83" s="2">
        <v>0.34980002453951148</v>
      </c>
      <c r="S83" s="2">
        <v>0.31838930041798552</v>
      </c>
      <c r="T83" s="2">
        <v>0.11562221386595409</v>
      </c>
      <c r="U83" s="2">
        <v>5.979700622598126E-3</v>
      </c>
      <c r="V83" s="2">
        <v>3.3620838550887343E-2</v>
      </c>
    </row>
    <row r="84" spans="15:22" x14ac:dyDescent="0.2">
      <c r="O84" s="2">
        <v>60</v>
      </c>
      <c r="P84" s="2">
        <v>3.1066801087242569E-2</v>
      </c>
      <c r="Q84" s="2">
        <v>0.15622850015380271</v>
      </c>
      <c r="R84" s="2">
        <v>0.35027114136522219</v>
      </c>
      <c r="S84" s="2">
        <v>0.31071048193408696</v>
      </c>
      <c r="T84" s="2">
        <v>0.11304721069450487</v>
      </c>
      <c r="U84" s="2">
        <v>5.8311785495288619E-3</v>
      </c>
      <c r="V84" s="2">
        <v>3.2844810598121159E-2</v>
      </c>
    </row>
    <row r="85" spans="15:22" x14ac:dyDescent="0.2">
      <c r="O85" s="2">
        <v>70</v>
      </c>
      <c r="P85" s="2">
        <v>3.2462272586326883E-2</v>
      </c>
      <c r="Q85" s="2">
        <v>0.16746102308766764</v>
      </c>
      <c r="R85" s="2">
        <v>0.35017589419272782</v>
      </c>
      <c r="S85" s="2">
        <v>0.3021238942132316</v>
      </c>
      <c r="T85" s="2">
        <v>0.11012090307825707</v>
      </c>
      <c r="U85" s="2">
        <v>5.6666372626666206E-3</v>
      </c>
      <c r="V85" s="2">
        <v>3.1989384365416283E-2</v>
      </c>
    </row>
    <row r="86" spans="15:22" x14ac:dyDescent="0.2">
      <c r="O86" s="2">
        <v>80</v>
      </c>
      <c r="P86" s="2">
        <v>3.3980215669454902E-2</v>
      </c>
      <c r="Q86" s="2">
        <v>0.18155413225501268</v>
      </c>
      <c r="R86" s="2">
        <v>0.34905484007430315</v>
      </c>
      <c r="S86" s="2">
        <v>0.29223563477439596</v>
      </c>
      <c r="T86" s="2">
        <v>0.10667538262322333</v>
      </c>
      <c r="U86" s="2">
        <v>5.4789756368489101E-3</v>
      </c>
      <c r="V86" s="2">
        <v>3.1020751224712519E-2</v>
      </c>
    </row>
    <row r="87" spans="15:22" x14ac:dyDescent="0.2">
      <c r="O87" s="2">
        <v>90</v>
      </c>
      <c r="P87" s="2">
        <v>3.5682364231415624E-2</v>
      </c>
      <c r="Q87" s="2">
        <v>0.20015305333926403</v>
      </c>
      <c r="R87" s="2">
        <v>0.34635350194675807</v>
      </c>
      <c r="S87" s="2">
        <v>0.28027203753650781</v>
      </c>
      <c r="T87" s="2">
        <v>0.1024171805774844</v>
      </c>
      <c r="U87" s="2">
        <v>5.2541910864411278E-3</v>
      </c>
      <c r="V87" s="2">
        <v>2.986750688237955E-2</v>
      </c>
    </row>
    <row r="88" spans="15:22" x14ac:dyDescent="0.2">
      <c r="O88" s="2">
        <v>100</v>
      </c>
      <c r="P88" s="2">
        <v>3.748394534564306E-2</v>
      </c>
      <c r="Q88" s="2">
        <v>0.22415163879153707</v>
      </c>
      <c r="R88" s="2">
        <v>0.34131247014641197</v>
      </c>
      <c r="S88" s="2">
        <v>0.26623843526119373</v>
      </c>
      <c r="T88" s="2">
        <v>9.7278700008092911E-2</v>
      </c>
      <c r="U88" s="2">
        <v>4.9941784557438907E-3</v>
      </c>
      <c r="V88" s="2">
        <v>2.8540791617263833E-2</v>
      </c>
    </row>
  </sheetData>
  <conditionalFormatting sqref="B37:B4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7:C4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7:D4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7:E4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4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7:G4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4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6:R4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S4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6:T4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6:V4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0:R6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S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0:T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50:U6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50:V6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:P7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4:Q7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4:R7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S7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64:T7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64:U7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64:V7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8:P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8:Q8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8:R8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S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8:T8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8:U8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8:V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57"/>
  <sheetViews>
    <sheetView workbookViewId="0">
      <selection activeCell="K16" sqref="K16"/>
    </sheetView>
  </sheetViews>
  <sheetFormatPr defaultRowHeight="12" x14ac:dyDescent="0.2"/>
  <cols>
    <col min="1" max="1" width="17.42578125" bestFit="1" customWidth="1"/>
  </cols>
  <sheetData>
    <row r="1" spans="2:7" x14ac:dyDescent="0.2">
      <c r="C1" t="s">
        <v>327</v>
      </c>
      <c r="E1" t="s">
        <v>148</v>
      </c>
    </row>
    <row r="2" spans="2:7" x14ac:dyDescent="0.2">
      <c r="B2" s="70" t="s">
        <v>375</v>
      </c>
      <c r="C2" s="71" t="s">
        <v>376</v>
      </c>
      <c r="D2" s="71"/>
      <c r="E2" s="71" t="s">
        <v>432</v>
      </c>
    </row>
    <row r="3" spans="2:7" ht="24" x14ac:dyDescent="0.2">
      <c r="B3" s="70" t="s">
        <v>378</v>
      </c>
      <c r="C3" s="71" t="s">
        <v>379</v>
      </c>
      <c r="D3" s="71"/>
      <c r="E3" s="71" t="s">
        <v>433</v>
      </c>
    </row>
    <row r="4" spans="2:7" ht="24" x14ac:dyDescent="0.2">
      <c r="B4" s="70" t="s">
        <v>380</v>
      </c>
      <c r="C4" s="71" t="s">
        <v>381</v>
      </c>
      <c r="D4" s="71"/>
      <c r="E4" s="71" t="s">
        <v>434</v>
      </c>
    </row>
    <row r="5" spans="2:7" x14ac:dyDescent="0.2">
      <c r="B5" s="70" t="s">
        <v>382</v>
      </c>
      <c r="C5" s="71" t="s">
        <v>383</v>
      </c>
      <c r="D5" s="71"/>
      <c r="E5" s="71" t="s">
        <v>435</v>
      </c>
    </row>
    <row r="6" spans="2:7" ht="24" x14ac:dyDescent="0.2">
      <c r="B6" s="70" t="s">
        <v>384</v>
      </c>
      <c r="C6" s="71" t="s">
        <v>385</v>
      </c>
      <c r="D6" s="71"/>
      <c r="E6" s="71" t="s">
        <v>436</v>
      </c>
    </row>
    <row r="7" spans="2:7" ht="24" x14ac:dyDescent="0.2">
      <c r="B7" s="70" t="s">
        <v>387</v>
      </c>
      <c r="C7" s="71" t="s">
        <v>388</v>
      </c>
      <c r="D7" s="71"/>
      <c r="E7" s="71" t="s">
        <v>437</v>
      </c>
    </row>
    <row r="8" spans="2:7" ht="14.25" x14ac:dyDescent="0.2">
      <c r="B8" s="72"/>
      <c r="C8" s="72"/>
      <c r="D8" s="72"/>
      <c r="E8" s="71" t="s">
        <v>438</v>
      </c>
    </row>
    <row r="9" spans="2:7" ht="24" x14ac:dyDescent="0.2">
      <c r="B9" s="70" t="s">
        <v>389</v>
      </c>
      <c r="C9" s="71" t="s">
        <v>390</v>
      </c>
      <c r="D9" s="71"/>
      <c r="E9" s="71" t="s">
        <v>439</v>
      </c>
    </row>
    <row r="10" spans="2:7" ht="24" x14ac:dyDescent="0.2">
      <c r="B10" s="70" t="s">
        <v>391</v>
      </c>
      <c r="C10" s="71" t="s">
        <v>392</v>
      </c>
      <c r="D10" s="71"/>
      <c r="E10" s="71" t="s">
        <v>440</v>
      </c>
    </row>
    <row r="11" spans="2:7" ht="24" x14ac:dyDescent="0.2">
      <c r="B11" s="70" t="s">
        <v>393</v>
      </c>
      <c r="C11" s="71" t="s">
        <v>394</v>
      </c>
      <c r="D11" s="71"/>
      <c r="E11" s="71" t="s">
        <v>441</v>
      </c>
    </row>
    <row r="12" spans="2:7" x14ac:dyDescent="0.2">
      <c r="B12" s="70" t="s">
        <v>395</v>
      </c>
      <c r="C12" s="71" t="s">
        <v>377</v>
      </c>
      <c r="D12" s="71"/>
      <c r="E12" s="71" t="s">
        <v>443</v>
      </c>
    </row>
    <row r="13" spans="2:7" ht="24" x14ac:dyDescent="0.2">
      <c r="B13" s="70" t="s">
        <v>396</v>
      </c>
      <c r="C13" s="71" t="s">
        <v>397</v>
      </c>
      <c r="D13" s="71"/>
      <c r="E13" s="71" t="s">
        <v>444</v>
      </c>
    </row>
    <row r="14" spans="2:7" ht="24" x14ac:dyDescent="0.2">
      <c r="B14" s="70" t="s">
        <v>398</v>
      </c>
      <c r="C14" s="71" t="s">
        <v>399</v>
      </c>
      <c r="D14" s="71"/>
      <c r="E14" s="75"/>
      <c r="F14" s="75"/>
      <c r="G14" s="75"/>
    </row>
    <row r="15" spans="2:7" ht="14.25" x14ac:dyDescent="0.2">
      <c r="B15" s="72"/>
      <c r="C15" s="72"/>
      <c r="D15" s="72"/>
      <c r="E15" s="71" t="s">
        <v>445</v>
      </c>
    </row>
    <row r="16" spans="2:7" ht="24" x14ac:dyDescent="0.2">
      <c r="B16" s="70" t="s">
        <v>401</v>
      </c>
      <c r="C16" s="71" t="s">
        <v>383</v>
      </c>
      <c r="D16" s="71"/>
      <c r="E16" s="71" t="s">
        <v>442</v>
      </c>
    </row>
    <row r="17" spans="2:7" ht="24" x14ac:dyDescent="0.2">
      <c r="B17" s="70" t="s">
        <v>402</v>
      </c>
      <c r="C17" s="71" t="s">
        <v>400</v>
      </c>
      <c r="D17" s="71"/>
      <c r="E17" s="71" t="s">
        <v>446</v>
      </c>
    </row>
    <row r="18" spans="2:7" ht="24" x14ac:dyDescent="0.2">
      <c r="B18" s="70" t="s">
        <v>403</v>
      </c>
      <c r="C18" s="71" t="s">
        <v>404</v>
      </c>
      <c r="D18" s="71"/>
      <c r="E18" s="71" t="s">
        <v>447</v>
      </c>
    </row>
    <row r="19" spans="2:7" x14ac:dyDescent="0.2">
      <c r="B19" s="70" t="s">
        <v>406</v>
      </c>
      <c r="C19" s="71" t="s">
        <v>407</v>
      </c>
      <c r="D19" s="71"/>
      <c r="E19" s="71" t="s">
        <v>448</v>
      </c>
    </row>
    <row r="20" spans="2:7" ht="24" x14ac:dyDescent="0.2">
      <c r="B20" s="70" t="s">
        <v>408</v>
      </c>
      <c r="C20" s="71" t="s">
        <v>409</v>
      </c>
      <c r="D20" s="71"/>
      <c r="E20" s="71" t="s">
        <v>449</v>
      </c>
    </row>
    <row r="21" spans="2:7" ht="24" x14ac:dyDescent="0.2">
      <c r="B21" s="70" t="s">
        <v>410</v>
      </c>
      <c r="C21" s="71" t="s">
        <v>411</v>
      </c>
      <c r="D21" s="71"/>
      <c r="E21" s="71" t="s">
        <v>450</v>
      </c>
    </row>
    <row r="22" spans="2:7" ht="14.25" x14ac:dyDescent="0.2">
      <c r="B22" s="72"/>
      <c r="C22" s="72"/>
      <c r="D22" s="72"/>
      <c r="E22" s="71" t="s">
        <v>451</v>
      </c>
    </row>
    <row r="23" spans="2:7" ht="24" x14ac:dyDescent="0.2">
      <c r="B23" s="70" t="s">
        <v>412</v>
      </c>
      <c r="C23" s="71" t="s">
        <v>413</v>
      </c>
      <c r="D23" s="71"/>
      <c r="E23" s="71" t="s">
        <v>452</v>
      </c>
    </row>
    <row r="24" spans="2:7" ht="24" x14ac:dyDescent="0.2">
      <c r="B24" s="70" t="s">
        <v>415</v>
      </c>
      <c r="C24" s="71" t="s">
        <v>416</v>
      </c>
      <c r="D24" s="71"/>
      <c r="E24" s="71" t="s">
        <v>453</v>
      </c>
    </row>
    <row r="25" spans="2:7" ht="24" x14ac:dyDescent="0.2">
      <c r="B25" s="70" t="s">
        <v>417</v>
      </c>
      <c r="C25" s="71" t="s">
        <v>414</v>
      </c>
      <c r="D25" s="71"/>
      <c r="E25" s="71" t="s">
        <v>454</v>
      </c>
    </row>
    <row r="26" spans="2:7" x14ac:dyDescent="0.2">
      <c r="B26" s="70" t="s">
        <v>418</v>
      </c>
      <c r="C26" s="71" t="s">
        <v>419</v>
      </c>
      <c r="D26" s="71"/>
      <c r="E26" s="71" t="s">
        <v>455</v>
      </c>
    </row>
    <row r="27" spans="2:7" ht="24" x14ac:dyDescent="0.2">
      <c r="B27" s="70" t="s">
        <v>420</v>
      </c>
      <c r="C27" s="71" t="s">
        <v>421</v>
      </c>
      <c r="D27" s="71"/>
      <c r="E27" s="75"/>
      <c r="F27" s="75"/>
      <c r="G27" s="75"/>
    </row>
    <row r="28" spans="2:7" ht="24" x14ac:dyDescent="0.2">
      <c r="B28" s="70" t="s">
        <v>422</v>
      </c>
      <c r="C28" s="71" t="s">
        <v>423</v>
      </c>
      <c r="D28" s="71"/>
      <c r="E28" s="71" t="s">
        <v>456</v>
      </c>
    </row>
    <row r="29" spans="2:7" ht="14.25" x14ac:dyDescent="0.2">
      <c r="B29" s="72"/>
      <c r="C29" s="72"/>
      <c r="D29" s="72"/>
      <c r="E29" s="71" t="s">
        <v>457</v>
      </c>
    </row>
    <row r="30" spans="2:7" ht="24" x14ac:dyDescent="0.2">
      <c r="B30" s="70" t="s">
        <v>424</v>
      </c>
      <c r="C30" s="71" t="s">
        <v>425</v>
      </c>
      <c r="D30" s="71"/>
      <c r="E30" s="71" t="s">
        <v>459</v>
      </c>
    </row>
    <row r="31" spans="2:7" ht="24" x14ac:dyDescent="0.2">
      <c r="B31" s="70" t="s">
        <v>427</v>
      </c>
      <c r="C31" s="71" t="s">
        <v>428</v>
      </c>
      <c r="D31" s="71"/>
      <c r="E31" s="71" t="s">
        <v>460</v>
      </c>
    </row>
    <row r="32" spans="2:7" ht="24" x14ac:dyDescent="0.2">
      <c r="B32" s="70" t="s">
        <v>429</v>
      </c>
      <c r="C32" s="71" t="s">
        <v>430</v>
      </c>
      <c r="D32" s="71"/>
      <c r="E32" s="71" t="s">
        <v>461</v>
      </c>
    </row>
    <row r="33" spans="5:7" x14ac:dyDescent="0.2">
      <c r="E33" s="71" t="s">
        <v>462</v>
      </c>
    </row>
    <row r="34" spans="5:7" x14ac:dyDescent="0.2">
      <c r="E34" s="71" t="s">
        <v>463</v>
      </c>
    </row>
    <row r="35" spans="5:7" x14ac:dyDescent="0.2">
      <c r="E35" s="71" t="s">
        <v>464</v>
      </c>
    </row>
    <row r="36" spans="5:7" x14ac:dyDescent="0.2">
      <c r="E36" s="71" t="s">
        <v>465</v>
      </c>
    </row>
    <row r="37" spans="5:7" x14ac:dyDescent="0.2">
      <c r="E37" s="71" t="s">
        <v>458</v>
      </c>
    </row>
    <row r="38" spans="5:7" x14ac:dyDescent="0.2">
      <c r="E38" s="71" t="s">
        <v>467</v>
      </c>
    </row>
    <row r="39" spans="5:7" x14ac:dyDescent="0.2">
      <c r="E39" s="71" t="s">
        <v>468</v>
      </c>
    </row>
    <row r="40" spans="5:7" ht="14.25" x14ac:dyDescent="0.2">
      <c r="E40" s="75"/>
      <c r="F40" s="75"/>
      <c r="G40" s="75"/>
    </row>
    <row r="41" spans="5:7" x14ac:dyDescent="0.2">
      <c r="E41" s="71" t="s">
        <v>469</v>
      </c>
    </row>
    <row r="42" spans="5:7" x14ac:dyDescent="0.2">
      <c r="E42" s="71" t="s">
        <v>470</v>
      </c>
    </row>
    <row r="43" spans="5:7" x14ac:dyDescent="0.2">
      <c r="E43" s="71" t="s">
        <v>471</v>
      </c>
    </row>
    <row r="44" spans="5:7" x14ac:dyDescent="0.2">
      <c r="E44" s="71" t="s">
        <v>472</v>
      </c>
    </row>
    <row r="45" spans="5:7" x14ac:dyDescent="0.2">
      <c r="E45" s="71" t="s">
        <v>405</v>
      </c>
    </row>
    <row r="46" spans="5:7" x14ac:dyDescent="0.2">
      <c r="E46" s="71" t="s">
        <v>386</v>
      </c>
    </row>
    <row r="47" spans="5:7" x14ac:dyDescent="0.2">
      <c r="E47" s="71" t="s">
        <v>474</v>
      </c>
    </row>
    <row r="48" spans="5:7" x14ac:dyDescent="0.2">
      <c r="E48" s="71" t="s">
        <v>376</v>
      </c>
    </row>
    <row r="49" spans="5:7" x14ac:dyDescent="0.2">
      <c r="E49" s="71" t="s">
        <v>475</v>
      </c>
    </row>
    <row r="50" spans="5:7" x14ac:dyDescent="0.2">
      <c r="E50" s="71" t="s">
        <v>426</v>
      </c>
    </row>
    <row r="51" spans="5:7" x14ac:dyDescent="0.2">
      <c r="E51" s="71" t="s">
        <v>473</v>
      </c>
    </row>
    <row r="52" spans="5:7" x14ac:dyDescent="0.2">
      <c r="E52" s="71" t="s">
        <v>476</v>
      </c>
    </row>
    <row r="53" spans="5:7" ht="14.25" x14ac:dyDescent="0.2">
      <c r="E53" s="75"/>
      <c r="F53" s="75"/>
      <c r="G53" s="75"/>
    </row>
    <row r="54" spans="5:7" x14ac:dyDescent="0.2">
      <c r="E54" s="71" t="s">
        <v>477</v>
      </c>
    </row>
    <row r="55" spans="5:7" x14ac:dyDescent="0.2">
      <c r="E55" s="71" t="s">
        <v>431</v>
      </c>
    </row>
    <row r="56" spans="5:7" x14ac:dyDescent="0.2">
      <c r="E56" s="71" t="s">
        <v>478</v>
      </c>
    </row>
    <row r="57" spans="5:7" x14ac:dyDescent="0.2">
      <c r="E57" s="71" t="s">
        <v>466</v>
      </c>
    </row>
  </sheetData>
  <mergeCells count="4">
    <mergeCell ref="E40:G40"/>
    <mergeCell ref="E53:G53"/>
    <mergeCell ref="E14:G14"/>
    <mergeCell ref="E27:G2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>
      <selection activeCell="E29" sqref="E29"/>
    </sheetView>
  </sheetViews>
  <sheetFormatPr defaultRowHeight="12" x14ac:dyDescent="0.2"/>
  <cols>
    <col min="1" max="1" width="18.85546875" bestFit="1" customWidth="1"/>
    <col min="2" max="2" width="13.28515625" customWidth="1"/>
    <col min="3" max="3" width="17.42578125" bestFit="1" customWidth="1"/>
    <col min="4" max="5" width="20.28515625" bestFit="1" customWidth="1"/>
    <col min="6" max="6" width="22.5703125" bestFit="1" customWidth="1"/>
  </cols>
  <sheetData>
    <row r="1" spans="1:6" x14ac:dyDescent="0.2">
      <c r="A1" s="2" t="s">
        <v>202</v>
      </c>
      <c r="B1" s="2" t="s">
        <v>150</v>
      </c>
      <c r="C1" s="2" t="s">
        <v>149</v>
      </c>
      <c r="D1" s="2" t="s">
        <v>148</v>
      </c>
      <c r="E1" s="2" t="s">
        <v>147</v>
      </c>
      <c r="F1" s="2" t="s">
        <v>146</v>
      </c>
    </row>
    <row r="2" spans="1:6" x14ac:dyDescent="0.2">
      <c r="A2" s="2" t="s">
        <v>203</v>
      </c>
      <c r="B2" s="2">
        <v>-9.3000000000000007</v>
      </c>
      <c r="C2" s="2">
        <v>-9.3000000000000007</v>
      </c>
      <c r="D2" s="2">
        <v>147.29</v>
      </c>
      <c r="E2" s="2">
        <v>232.91900000000001</v>
      </c>
      <c r="F2" s="2">
        <v>375</v>
      </c>
    </row>
    <row r="3" spans="1:6" x14ac:dyDescent="0.2">
      <c r="A3" s="2" t="s">
        <v>204</v>
      </c>
      <c r="B3" s="2">
        <v>1.00325</v>
      </c>
      <c r="C3" s="2">
        <v>1.00325</v>
      </c>
      <c r="D3" s="2">
        <v>1.00325</v>
      </c>
      <c r="E3" s="2">
        <v>1.00325</v>
      </c>
      <c r="F3" s="2">
        <v>1.00325</v>
      </c>
    </row>
    <row r="4" spans="1:6" x14ac:dyDescent="0.2">
      <c r="A4" s="2" t="s">
        <v>205</v>
      </c>
      <c r="B4" s="55">
        <v>1</v>
      </c>
      <c r="C4" s="55">
        <v>0.71</v>
      </c>
      <c r="D4" s="55">
        <v>0.99</v>
      </c>
      <c r="E4" s="55">
        <v>0.86</v>
      </c>
      <c r="F4" s="55">
        <v>0.99</v>
      </c>
    </row>
    <row r="5" spans="1:6" x14ac:dyDescent="0.2">
      <c r="A5" s="2" t="s">
        <v>206</v>
      </c>
      <c r="B5" s="2">
        <v>63321.35</v>
      </c>
      <c r="C5" s="2">
        <v>249232</v>
      </c>
      <c r="D5" s="2">
        <v>111841.8</v>
      </c>
      <c r="E5" s="2">
        <v>85346.51</v>
      </c>
      <c r="F5" s="2">
        <v>9648.9920000000002</v>
      </c>
    </row>
    <row r="6" spans="1:6" x14ac:dyDescent="0.2">
      <c r="A6" s="2" t="s">
        <v>207</v>
      </c>
      <c r="B6" s="2" t="s">
        <v>219</v>
      </c>
      <c r="C6" s="2" t="s">
        <v>222</v>
      </c>
      <c r="D6" s="2" t="s">
        <v>229</v>
      </c>
      <c r="E6" s="2" t="s">
        <v>241</v>
      </c>
      <c r="F6" s="2" t="s">
        <v>249</v>
      </c>
    </row>
    <row r="7" spans="1:6" x14ac:dyDescent="0.2">
      <c r="A7" s="2" t="s">
        <v>208</v>
      </c>
      <c r="B7" s="2" t="s">
        <v>220</v>
      </c>
      <c r="C7" s="2" t="s">
        <v>226</v>
      </c>
      <c r="D7" s="2" t="s">
        <v>230</v>
      </c>
      <c r="E7" s="2" t="s">
        <v>242</v>
      </c>
      <c r="F7" s="2" t="s">
        <v>250</v>
      </c>
    </row>
    <row r="8" spans="1:6" x14ac:dyDescent="0.2">
      <c r="A8" s="2" t="s">
        <v>209</v>
      </c>
      <c r="B8" s="2" t="s">
        <v>221</v>
      </c>
      <c r="C8" s="2" t="s">
        <v>223</v>
      </c>
      <c r="D8" s="2" t="s">
        <v>231</v>
      </c>
      <c r="E8" s="2" t="s">
        <v>243</v>
      </c>
      <c r="F8" s="2" t="s">
        <v>251</v>
      </c>
    </row>
    <row r="9" spans="1:6" x14ac:dyDescent="0.2">
      <c r="A9" s="2" t="s">
        <v>210</v>
      </c>
      <c r="B9" s="2"/>
      <c r="C9" s="2" t="s">
        <v>224</v>
      </c>
      <c r="D9" s="2" t="s">
        <v>232</v>
      </c>
      <c r="E9" s="2" t="s">
        <v>244</v>
      </c>
      <c r="F9" s="2" t="s">
        <v>252</v>
      </c>
    </row>
    <row r="10" spans="1:6" x14ac:dyDescent="0.2">
      <c r="A10" s="2" t="s">
        <v>211</v>
      </c>
      <c r="B10" s="2"/>
      <c r="C10" s="2" t="s">
        <v>225</v>
      </c>
      <c r="D10" s="2" t="s">
        <v>233</v>
      </c>
      <c r="E10" s="2" t="s">
        <v>245</v>
      </c>
      <c r="F10" s="2" t="s">
        <v>253</v>
      </c>
    </row>
    <row r="11" spans="1:6" x14ac:dyDescent="0.2">
      <c r="A11" s="2" t="s">
        <v>212</v>
      </c>
      <c r="B11" s="2"/>
      <c r="C11" s="2" t="s">
        <v>227</v>
      </c>
      <c r="D11" s="2" t="s">
        <v>234</v>
      </c>
      <c r="E11" s="2" t="s">
        <v>248</v>
      </c>
      <c r="F11" s="2" t="s">
        <v>254</v>
      </c>
    </row>
    <row r="12" spans="1:6" x14ac:dyDescent="0.2">
      <c r="A12" s="2" t="s">
        <v>213</v>
      </c>
      <c r="B12" s="2"/>
      <c r="C12" s="2" t="s">
        <v>228</v>
      </c>
      <c r="D12" s="2" t="s">
        <v>235</v>
      </c>
      <c r="E12" s="2" t="s">
        <v>246</v>
      </c>
      <c r="F12" s="2"/>
    </row>
    <row r="13" spans="1:6" x14ac:dyDescent="0.2">
      <c r="A13" s="2" t="s">
        <v>214</v>
      </c>
      <c r="B13" s="2"/>
      <c r="C13" s="2"/>
      <c r="D13" s="2" t="s">
        <v>236</v>
      </c>
      <c r="E13" s="2" t="s">
        <v>247</v>
      </c>
      <c r="F13" s="2"/>
    </row>
    <row r="14" spans="1:6" x14ac:dyDescent="0.2">
      <c r="A14" s="2" t="s">
        <v>215</v>
      </c>
      <c r="B14" s="2"/>
      <c r="C14" s="2"/>
      <c r="D14" s="2" t="s">
        <v>237</v>
      </c>
      <c r="E14" s="2"/>
      <c r="F14" s="2"/>
    </row>
    <row r="15" spans="1:6" x14ac:dyDescent="0.2">
      <c r="A15" s="2" t="s">
        <v>216</v>
      </c>
      <c r="B15" s="2"/>
      <c r="C15" s="2"/>
      <c r="D15" s="2" t="s">
        <v>238</v>
      </c>
      <c r="E15" s="2"/>
      <c r="F15" s="2"/>
    </row>
    <row r="16" spans="1:6" x14ac:dyDescent="0.2">
      <c r="A16" s="2" t="s">
        <v>217</v>
      </c>
      <c r="B16" s="2"/>
      <c r="C16" s="2"/>
      <c r="D16" s="2" t="s">
        <v>239</v>
      </c>
      <c r="E16" s="2"/>
      <c r="F16" s="2"/>
    </row>
    <row r="17" spans="1:6" x14ac:dyDescent="0.2">
      <c r="A17" s="2" t="s">
        <v>218</v>
      </c>
      <c r="B17" s="2"/>
      <c r="C17" s="2"/>
      <c r="D17" s="2" t="s">
        <v>240</v>
      </c>
      <c r="E17" s="2"/>
      <c r="F17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workbookViewId="0">
      <selection sqref="A1:D26"/>
    </sheetView>
  </sheetViews>
  <sheetFormatPr defaultRowHeight="12" x14ac:dyDescent="0.2"/>
  <cols>
    <col min="1" max="1" width="15.7109375" bestFit="1" customWidth="1"/>
    <col min="2" max="2" width="20.28515625" bestFit="1" customWidth="1"/>
    <col min="3" max="3" width="15" bestFit="1" customWidth="1"/>
    <col min="4" max="4" width="14.5703125" bestFit="1" customWidth="1"/>
  </cols>
  <sheetData>
    <row r="1" spans="1:4" x14ac:dyDescent="0.2">
      <c r="A1" s="57" t="s">
        <v>258</v>
      </c>
      <c r="B1" s="57" t="s">
        <v>255</v>
      </c>
      <c r="C1" s="57" t="s">
        <v>256</v>
      </c>
      <c r="D1" s="57" t="s">
        <v>257</v>
      </c>
    </row>
    <row r="2" spans="1:4" x14ac:dyDescent="0.2">
      <c r="A2" s="4" t="s">
        <v>259</v>
      </c>
      <c r="B2" s="4" t="s">
        <v>44</v>
      </c>
      <c r="C2" s="4" t="s">
        <v>260</v>
      </c>
      <c r="D2" s="58">
        <f>15026554.7141663+14581818.1913319</f>
        <v>29608372.905498199</v>
      </c>
    </row>
    <row r="3" spans="1:4" x14ac:dyDescent="0.2">
      <c r="A3" s="4" t="s">
        <v>264</v>
      </c>
      <c r="B3" s="4" t="s">
        <v>76</v>
      </c>
      <c r="C3" s="4" t="s">
        <v>76</v>
      </c>
      <c r="D3" s="58">
        <v>27252292.448521674</v>
      </c>
    </row>
    <row r="4" spans="1:4" x14ac:dyDescent="0.2">
      <c r="A4" s="4" t="s">
        <v>261</v>
      </c>
      <c r="B4" s="4" t="s">
        <v>44</v>
      </c>
      <c r="C4" s="4" t="s">
        <v>260</v>
      </c>
      <c r="D4" s="58">
        <f>2783006.91694763+2115415.9813979</f>
        <v>4898422.89834553</v>
      </c>
    </row>
    <row r="5" spans="1:4" x14ac:dyDescent="0.2">
      <c r="A5" s="4" t="s">
        <v>266</v>
      </c>
      <c r="B5" s="4" t="s">
        <v>42</v>
      </c>
      <c r="C5" s="4" t="s">
        <v>56</v>
      </c>
      <c r="D5" s="58">
        <v>3610956.2765554558</v>
      </c>
    </row>
    <row r="6" spans="1:4" x14ac:dyDescent="0.2">
      <c r="A6" s="4" t="s">
        <v>274</v>
      </c>
      <c r="B6" s="4" t="s">
        <v>76</v>
      </c>
      <c r="C6" s="4" t="s">
        <v>76</v>
      </c>
      <c r="D6" s="58">
        <v>3209713.8727465882</v>
      </c>
    </row>
    <row r="7" spans="1:4" x14ac:dyDescent="0.2">
      <c r="A7" s="4" t="s">
        <v>262</v>
      </c>
      <c r="B7" s="4" t="s">
        <v>44</v>
      </c>
      <c r="C7" s="4" t="s">
        <v>260</v>
      </c>
      <c r="D7" s="58">
        <f>787528.716827063+358499.849212187</f>
        <v>1146028.56603925</v>
      </c>
    </row>
    <row r="8" spans="1:4" x14ac:dyDescent="0.2">
      <c r="A8" s="4" t="s">
        <v>267</v>
      </c>
      <c r="B8" s="4" t="s">
        <v>43</v>
      </c>
      <c r="C8" s="4" t="s">
        <v>56</v>
      </c>
      <c r="D8" s="58">
        <v>906808.38027848792</v>
      </c>
    </row>
    <row r="9" spans="1:4" x14ac:dyDescent="0.2">
      <c r="A9" s="4" t="s">
        <v>273</v>
      </c>
      <c r="B9" s="4" t="s">
        <v>42</v>
      </c>
      <c r="C9" s="4" t="s">
        <v>56</v>
      </c>
      <c r="D9" s="58">
        <v>788546.87820589927</v>
      </c>
    </row>
    <row r="10" spans="1:4" x14ac:dyDescent="0.2">
      <c r="A10" s="4" t="s">
        <v>286</v>
      </c>
      <c r="B10" s="4" t="s">
        <v>288</v>
      </c>
      <c r="C10" s="4" t="s">
        <v>122</v>
      </c>
      <c r="D10" s="58">
        <v>307754.28502299462</v>
      </c>
    </row>
    <row r="11" spans="1:4" x14ac:dyDescent="0.2">
      <c r="A11" s="4" t="s">
        <v>279</v>
      </c>
      <c r="B11" s="4" t="s">
        <v>189</v>
      </c>
      <c r="C11" s="4" t="s">
        <v>81</v>
      </c>
      <c r="D11" s="58">
        <v>282792.68188392051</v>
      </c>
    </row>
    <row r="12" spans="1:4" x14ac:dyDescent="0.2">
      <c r="A12" s="4" t="s">
        <v>280</v>
      </c>
      <c r="B12" s="4" t="s">
        <v>283</v>
      </c>
      <c r="C12" s="4" t="s">
        <v>81</v>
      </c>
      <c r="D12" s="58">
        <v>257539.24330029986</v>
      </c>
    </row>
    <row r="13" spans="1:4" x14ac:dyDescent="0.2">
      <c r="A13" s="4" t="s">
        <v>263</v>
      </c>
      <c r="B13" s="4" t="s">
        <v>42</v>
      </c>
      <c r="C13" s="4" t="s">
        <v>56</v>
      </c>
      <c r="D13" s="58">
        <v>145631.12020757209</v>
      </c>
    </row>
    <row r="14" spans="1:4" x14ac:dyDescent="0.2">
      <c r="A14" s="4" t="s">
        <v>282</v>
      </c>
      <c r="B14" s="4" t="s">
        <v>42</v>
      </c>
      <c r="C14" s="4" t="s">
        <v>56</v>
      </c>
      <c r="D14" s="58">
        <v>123272.14926776184</v>
      </c>
    </row>
    <row r="15" spans="1:4" x14ac:dyDescent="0.2">
      <c r="A15" s="4" t="s">
        <v>285</v>
      </c>
      <c r="B15" s="4" t="s">
        <v>287</v>
      </c>
      <c r="C15" s="4" t="s">
        <v>122</v>
      </c>
      <c r="D15" s="58">
        <v>88576.859458132618</v>
      </c>
    </row>
    <row r="16" spans="1:4" x14ac:dyDescent="0.2">
      <c r="A16" s="4" t="s">
        <v>278</v>
      </c>
      <c r="B16" s="4" t="s">
        <v>188</v>
      </c>
      <c r="C16" s="4" t="s">
        <v>81</v>
      </c>
      <c r="D16" s="58">
        <v>85940.127630853662</v>
      </c>
    </row>
    <row r="17" spans="1:4" x14ac:dyDescent="0.2">
      <c r="A17" s="4" t="s">
        <v>265</v>
      </c>
      <c r="B17" s="4" t="s">
        <v>39</v>
      </c>
      <c r="C17" s="4" t="s">
        <v>56</v>
      </c>
      <c r="D17" s="58">
        <v>62589.683912617649</v>
      </c>
    </row>
    <row r="18" spans="1:4" x14ac:dyDescent="0.2">
      <c r="A18" s="4" t="s">
        <v>281</v>
      </c>
      <c r="B18" s="4" t="s">
        <v>284</v>
      </c>
      <c r="C18" s="4" t="s">
        <v>81</v>
      </c>
      <c r="D18" s="58">
        <v>38499.497268131781</v>
      </c>
    </row>
    <row r="19" spans="1:4" x14ac:dyDescent="0.2">
      <c r="A19" s="4" t="s">
        <v>268</v>
      </c>
      <c r="B19" s="4" t="s">
        <v>39</v>
      </c>
      <c r="C19" s="4" t="s">
        <v>56</v>
      </c>
      <c r="D19" s="58">
        <v>34041.984242887396</v>
      </c>
    </row>
    <row r="20" spans="1:4" x14ac:dyDescent="0.2">
      <c r="A20" s="4" t="s">
        <v>277</v>
      </c>
      <c r="B20" s="4" t="s">
        <v>39</v>
      </c>
      <c r="C20" s="4" t="s">
        <v>56</v>
      </c>
      <c r="D20" s="58">
        <v>29914.35601279567</v>
      </c>
    </row>
    <row r="21" spans="1:4" x14ac:dyDescent="0.2">
      <c r="A21" s="4" t="s">
        <v>270</v>
      </c>
      <c r="B21" s="4" t="s">
        <v>41</v>
      </c>
      <c r="C21" s="4" t="s">
        <v>58</v>
      </c>
      <c r="D21" s="58">
        <v>14466.006926329481</v>
      </c>
    </row>
    <row r="22" spans="1:4" x14ac:dyDescent="0.2">
      <c r="A22" s="4" t="s">
        <v>271</v>
      </c>
      <c r="B22" s="4" t="s">
        <v>40</v>
      </c>
      <c r="C22" s="4" t="s">
        <v>58</v>
      </c>
      <c r="D22" s="58">
        <v>11783.284621329711</v>
      </c>
    </row>
    <row r="23" spans="1:4" x14ac:dyDescent="0.2">
      <c r="A23" s="4" t="s">
        <v>269</v>
      </c>
      <c r="B23" s="4" t="s">
        <v>40</v>
      </c>
      <c r="C23" s="4" t="s">
        <v>58</v>
      </c>
      <c r="D23" s="58">
        <v>9014.909629707865</v>
      </c>
    </row>
    <row r="24" spans="1:4" x14ac:dyDescent="0.2">
      <c r="A24" s="4" t="s">
        <v>276</v>
      </c>
      <c r="B24" s="4" t="s">
        <v>41</v>
      </c>
      <c r="C24" s="4" t="s">
        <v>58</v>
      </c>
      <c r="D24" s="58">
        <v>8600.9062499389638</v>
      </c>
    </row>
    <row r="25" spans="1:4" x14ac:dyDescent="0.2">
      <c r="A25" s="4" t="s">
        <v>275</v>
      </c>
      <c r="B25" s="4" t="s">
        <v>40</v>
      </c>
      <c r="C25" s="4" t="s">
        <v>58</v>
      </c>
      <c r="D25" s="58">
        <v>8552.9449888155141</v>
      </c>
    </row>
    <row r="26" spans="1:4" x14ac:dyDescent="0.2">
      <c r="A26" s="4" t="s">
        <v>272</v>
      </c>
      <c r="B26" s="4" t="s">
        <v>41</v>
      </c>
      <c r="C26" s="4" t="s">
        <v>58</v>
      </c>
      <c r="D26" s="58">
        <v>8411.3752681663973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sqref="A1:E6"/>
    </sheetView>
  </sheetViews>
  <sheetFormatPr defaultRowHeight="12" x14ac:dyDescent="0.2"/>
  <cols>
    <col min="2" max="2" width="10.85546875" customWidth="1"/>
    <col min="3" max="3" width="13.28515625" customWidth="1"/>
    <col min="4" max="5" width="12" bestFit="1" customWidth="1"/>
    <col min="13" max="13" width="10" bestFit="1" customWidth="1"/>
    <col min="14" max="14" width="12" bestFit="1" customWidth="1"/>
  </cols>
  <sheetData>
    <row r="1" spans="1:5" x14ac:dyDescent="0.2">
      <c r="A1" s="57" t="s">
        <v>258</v>
      </c>
      <c r="B1" s="57" t="s">
        <v>255</v>
      </c>
      <c r="C1" s="57" t="s">
        <v>256</v>
      </c>
      <c r="D1" s="57" t="s">
        <v>289</v>
      </c>
      <c r="E1" s="57" t="s">
        <v>257</v>
      </c>
    </row>
    <row r="2" spans="1:5" x14ac:dyDescent="0.2">
      <c r="A2" s="4" t="s">
        <v>282</v>
      </c>
      <c r="B2" s="4" t="s">
        <v>42</v>
      </c>
      <c r="C2" s="4" t="s">
        <v>56</v>
      </c>
      <c r="D2" s="56">
        <v>164228</v>
      </c>
      <c r="E2" s="58">
        <v>483813.71726400004</v>
      </c>
    </row>
    <row r="3" spans="1:5" x14ac:dyDescent="0.2">
      <c r="A3" s="4" t="s">
        <v>263</v>
      </c>
      <c r="B3" s="4" t="s">
        <v>42</v>
      </c>
      <c r="C3" s="4" t="s">
        <v>56</v>
      </c>
      <c r="D3" s="56">
        <v>191.60687255859375</v>
      </c>
      <c r="E3" s="58">
        <v>20904.581877901604</v>
      </c>
    </row>
    <row r="4" spans="1:5" x14ac:dyDescent="0.2">
      <c r="A4" s="4" t="s">
        <v>267</v>
      </c>
      <c r="B4" s="4" t="s">
        <v>43</v>
      </c>
      <c r="C4" s="4" t="s">
        <v>56</v>
      </c>
      <c r="D4" s="56">
        <v>98.487350463867188</v>
      </c>
      <c r="E4" s="58">
        <v>14507.127630917357</v>
      </c>
    </row>
    <row r="5" spans="1:5" x14ac:dyDescent="0.2">
      <c r="A5" s="4" t="s">
        <v>273</v>
      </c>
      <c r="B5" s="4" t="s">
        <v>42</v>
      </c>
      <c r="C5" s="4" t="s">
        <v>56</v>
      </c>
      <c r="D5" s="56">
        <v>31.698825836181641</v>
      </c>
      <c r="E5" s="58">
        <v>1168.6234947365569</v>
      </c>
    </row>
    <row r="6" spans="1:5" x14ac:dyDescent="0.2">
      <c r="A6" s="4" t="s">
        <v>266</v>
      </c>
      <c r="B6" s="4" t="s">
        <v>42</v>
      </c>
      <c r="C6" s="4" t="s">
        <v>56</v>
      </c>
      <c r="D6" s="56">
        <v>39.884342193603516</v>
      </c>
      <c r="E6" s="58">
        <v>117.49879349024962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Cost</vt:lpstr>
      <vt:lpstr>ChemCAD Reference</vt:lpstr>
      <vt:lpstr>NPV</vt:lpstr>
      <vt:lpstr>Tower 1 Opt</vt:lpstr>
      <vt:lpstr>LCO T Opt</vt:lpstr>
      <vt:lpstr>Gas T Opt</vt:lpstr>
      <vt:lpstr>LPGDG T Opt</vt:lpstr>
      <vt:lpstr>Component</vt:lpstr>
      <vt:lpstr>Pricing</vt:lpstr>
      <vt:lpstr>Stream Table</vt:lpstr>
      <vt:lpstr>Equipment</vt:lpstr>
      <vt:lpstr>Utilities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</dc:creator>
  <cp:lastModifiedBy>Hayden</cp:lastModifiedBy>
  <cp:lastPrinted>2016-10-09T15:16:51Z</cp:lastPrinted>
  <dcterms:created xsi:type="dcterms:W3CDTF">2016-10-06T15:08:06Z</dcterms:created>
  <dcterms:modified xsi:type="dcterms:W3CDTF">2017-05-08T17:22:08Z</dcterms:modified>
</cp:coreProperties>
</file>